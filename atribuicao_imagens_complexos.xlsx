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ad1a3de59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7f3c51794654b56"/>
    <x:sheet xmlns:r="http://schemas.openxmlformats.org/officeDocument/2006/relationships" name="Atribuição de imagens" sheetId="2" r:id="Ra0a7e9862dc5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40291E"/>
      <x:name val="Carlito"/>
    </x:font>
    <x:font>
      <x:b/>
      <x:sz val="14"/>
      <x:color rgb="FF8A4F32"/>
      <x:name val="Carlito"/>
    </x:font>
    <x:font>
      <x:i/>
      <x:sz val="11"/>
      <x:color rgb="FF5E51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A4F32"/>
      </x:patternFill>
    </x:fill>
    <x:fill>
      <x:patternFill patternType="solid">
        <x:fgColor rgb="FFD7B79F"/>
      </x:patternFill>
    </x:fill>
    <x:fill>
      <x:patternFill patternType="solid">
        <x:fgColor rgb="FFF6EFE8"/>
      </x:patternFill>
    </x:fill>
    <x:fill>
      <x:patternFill patternType="solid">
        <x:fgColor rgb="FFFFF9F3"/>
      </x:patternFill>
    </x:fill>
  </x:fills>
  <x:borders count="12">
    <x:border/>
    <x:border>
      <x:left style="thin">
        <x:color rgb="FFD8C7B9"/>
      </x:left>
      <x:right style="thin">
        <x:color rgb="FFD8C7B9"/>
      </x:right>
      <x:top style="thin">
        <x:color rgb="FFD8C7B9"/>
      </x:top>
      <x:bottom style="thin">
        <x:color rgb="FFD8C7B9"/>
      </x:bottom>
    </x:border>
    <x:border>
      <x:left style="thin">
        <x:color rgb="FFE5DED7"/>
      </x:left>
      <x:right style="thin">
        <x:color rgb="FFE5DED7"/>
      </x:right>
      <x:top style="thin">
        <x:color rgb="FFE5DED7"/>
      </x:top>
      <x:bottom style="thin">
        <x:color rgb="FFE5DED7"/>
      </x:bottom>
    </x:border>
    <x:border>
      <x:left style="thin">
        <x:color rgb="FFC6AA95"/>
      </x:left>
      <x:right style="thin">
        <x:color rgb="FFC6AA95"/>
      </x:right>
      <x:top style="thin">
        <x:color rgb="FFC6AA95"/>
      </x:top>
      <x:bottom style="thin">
        <x:color rgb="FFC6AA95"/>
      </x:bottom>
    </x:border>
    <x:border>
      <x:left style="thin">
        <x:color rgb="FFD8C7B9"/>
      </x:left>
      <x:top style="thin">
        <x:color rgb="FFD8C7B9"/>
      </x:top>
    </x:border>
    <x:border>
      <x:top style="thin">
        <x:color rgb="FFD8C7B9"/>
      </x:top>
    </x:border>
    <x:border>
      <x:right style="thin">
        <x:color rgb="FFD8C7B9"/>
      </x:right>
      <x:top style="thin">
        <x:color rgb="FFD8C7B9"/>
      </x:top>
    </x:border>
    <x:border>
      <x:left style="thin">
        <x:color rgb="FFD8C7B9"/>
      </x:left>
    </x:border>
    <x:border>
      <x:right style="thin">
        <x:color rgb="FFD8C7B9"/>
      </x:right>
    </x:border>
    <x:border>
      <x:left style="thin">
        <x:color rgb="FFD8C7B9"/>
      </x:left>
      <x:bottom style="thin">
        <x:color rgb="FFD8C7B9"/>
      </x:bottom>
    </x:border>
    <x:border>
      <x:bottom style="thin">
        <x:color rgb="FFD8C7B9"/>
      </x:bottom>
    </x:border>
    <x:border>
      <x:right style="thin">
        <x:color rgb="FFD8C7B9"/>
      </x:right>
      <x:bottom style="thin">
        <x:color rgb="FFD8C7B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4552C"/>
      </x:font>
      <x:fill>
        <x:patternFill patternType="solid">
          <x:bgColor rgb="FFDDEBDD"/>
        </x:patternFill>
      </x:fill>
    </x:dxf>
    <x:dxf>
      <x:font>
        <x:b/>
        <x:color rgb="FF7A5700"/>
      </x:font>
      <x:fill>
        <x:patternFill patternType="solid">
          <x:bgColor rgb="FFFFF0C2"/>
        </x:patternFill>
      </x:fill>
    </x:dxf>
    <x:dxf>
      <x:font>
        <x:b/>
        <x:color rgb="FF8B2F22"/>
      </x:font>
      <x:fill>
        <x:patternFill patternType="solid">
          <x:bgColor rgb="FFF6D6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da576ed0f4379" /><Relationship Type="http://schemas.openxmlformats.org/officeDocument/2006/relationships/theme" Target="/xl/theme/theme1.xml" Id="Rc4ede0da8a414b6d" /><Relationship Type="http://schemas.openxmlformats.org/officeDocument/2006/relationships/sharedStrings" Target="/xl/sharedStrings.xml" Id="Re564427c24524e4f" /><Relationship Type="http://schemas.openxmlformats.org/officeDocument/2006/relationships/worksheet" Target="/xl/worksheets/sheet1.xml" Id="Re7f3c51794654b56" /><Relationship Type="http://schemas.openxmlformats.org/officeDocument/2006/relationships/worksheet" Target="/xl/worksheets/sheet2.xml" Id="Ra0a7e9862dc54cfe" /></Relationships>
</file>

<file path=xl/tables/table1.xml><?xml version="1.0" encoding="utf-8"?>
<x:table xmlns:x="http://schemas.openxmlformats.org/spreadsheetml/2006/main" id="1" name="TabelaAtribuicoes" displayName="TabelaAtribuicoes" ref="A1:K64" headerRowCount="1" totalsRowCount="0" totalsRowShown="0">
  <x:tableColumns count="11">
    <x:tableColumn id="1" name="ID"/>
    <x:tableColumn id="2" name="Complexo"/>
    <x:tableColumn id="3" name="UF"/>
    <x:tableColumn id="4" name="Município"/>
    <x:tableColumn id="5" name="Arquivo"/>
    <x:tableColumn id="6" name="Caminho no webmap"/>
    <x:tableColumn id="7" name="Fonte da imagem"/>
    <x:tableColumn id="8" name="Correspondência"/>
    <x:tableColumn id="9" name="Observação"/>
    <x:tableColumn id="10" name="Qtd. usinas SIGA"/>
    <x:tableColumn id="11" name="Usinas gerado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9458d25a6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1" t="str">
        <x:v>Atribuição de imagens aos complexos fotovoltaicos</x:v>
      </x:c>
      <x:c r="B1" s="11"/>
      <x:c r="C1" s="11"/>
      <x:c r="D1" s="11"/>
      <x:c r="E1" s="11"/>
      <x:c r="F1" s="11"/>
    </x:row>
    <x:row r="2">
      <x:c r="A2" s="11"/>
      <x:c r="B2" s="11"/>
      <x:c r="C2" s="11"/>
      <x:c r="D2" s="11"/>
      <x:c r="E2" s="11"/>
      <x:c r="F2" s="11"/>
    </x:row>
    <x:row r="4" ht="25" customHeight="1">
      <x:c r="A4" s="14" t="str">
        <x:v>Indicador</x:v>
      </x:c>
      <x:c r="B4" s="14" t="str">
        <x:v>Quantidade</x:v>
      </x:c>
    </x:row>
    <x:row r="5" ht="25" customHeight="1">
      <x:c r="A5" s="16" t="str">
        <x:v>Total de complexos</x:v>
      </x:c>
      <x:c r="B5" s="19" t="n">
        <x:f>COUNTA('Atribuição de imagens'!B2:B64)</x:f>
        <x:v>63</x:v>
      </x:c>
    </x:row>
    <x:row r="6" ht="25" customHeight="1">
      <x:c r="A6" s="16" t="str">
        <x:v>Correspondência nominal</x:v>
      </x:c>
      <x:c r="B6" s="19" t="n">
        <x:f>COUNTIF('Atribuição de imagens'!H2:H64,"nominal")</x:f>
        <x:v>59</x:v>
      </x:c>
    </x:row>
    <x:row r="7" ht="25" customHeight="1">
      <x:c r="A7" s="16" t="str">
        <x:v>Correspondência contextual</x:v>
      </x:c>
      <x:c r="B7" s="19" t="n">
        <x:f>COUNTIF('Atribuição de imagens'!H2:H64,"contextual")</x:f>
        <x:v>3</x:v>
      </x:c>
    </x:row>
    <x:row r="8" ht="25" customHeight="1">
      <x:c r="A8" s="16" t="str">
        <x:v>Imagem representativa</x:v>
      </x:c>
      <x:c r="B8" s="19" t="n">
        <x:f>COUNTIF('Atribuição de imagens'!H2:H64,"representativa")</x:f>
        <x:v>1</x:v>
      </x:c>
    </x:row>
    <x:row r="10">
      <x:c r="A10" s="13" t="str">
        <x:v>Critério editorial</x:v>
      </x:c>
      <x:c r="B10" s="13"/>
      <x:c r="C10" s="13"/>
      <x:c r="D10" s="13"/>
      <x:c r="E10" s="13"/>
      <x:c r="F10" s="13"/>
    </x:row>
    <x:row r="11" ht="25" customHeight="1">
      <x:c r="A11" s="38" t="str">
        <x:v>Nominal: a fonte identifica o complexo ou projeto. Contextual: imagem do polo/localidade ou projeto associado, sem confirmação nominal da feição. Representativa: usada apenas quando a feição não possui usina SIGA diretamente associada; a justificativa aparece na planilha detalhada.</x:v>
      </x:c>
      <x:c r="B11" s="39"/>
      <x:c r="C11" s="39"/>
      <x:c r="D11" s="39"/>
      <x:c r="E11" s="39"/>
      <x:c r="F11" s="40"/>
    </x:row>
    <x:row r="12" ht="25" customHeight="1">
      <x:c r="A12" s="41"/>
      <x:c r="B12" s="42"/>
      <x:c r="C12" s="42"/>
      <x:c r="D12" s="42"/>
      <x:c r="E12" s="42"/>
      <x:c r="F12" s="43"/>
    </x:row>
    <x:row r="13" ht="25" customHeight="1">
      <x:c r="A13" s="44"/>
      <x:c r="B13" s="45"/>
      <x:c r="C13" s="45"/>
      <x:c r="D13" s="45"/>
      <x:c r="E13" s="45"/>
      <x:c r="F13" s="46"/>
    </x:row>
    <x:row r="15">
      <x:c r="A15" s="48" t="str">
        <x:v>Fonte dos dados do mapa: Sistema de Informações de Geração da ANEEL (SIGA) — https://dadosabertos.aneel.gov.br/dataset/siga-sistema-de-informacoes-de-geracao-da-aneel</x:v>
      </x:c>
      <x:c r="B15" s="48"/>
      <x:c r="C15" s="48"/>
      <x:c r="D15" s="48"/>
      <x:c r="E15" s="48"/>
      <x:c r="F15" s="48"/>
    </x:row>
  </x:sheetData>
  <x:mergeCells>
    <x:mergeCell ref="A1:F2"/>
    <x:mergeCell ref="A10:F10"/>
    <x:mergeCell ref="A11:F13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7" hidden="0" customWidth="1"/>
    <x:col min="4" max="4" width="22" hidden="0" customWidth="1"/>
    <x:col min="5" max="5" width="24" hidden="0" customWidth="1"/>
    <x:col min="6" max="6" width="36" hidden="0" customWidth="1"/>
    <x:col min="7" max="7" width="58" hidden="0" customWidth="1"/>
    <x:col min="8" max="8" width="18" hidden="0" customWidth="1"/>
    <x:col min="9" max="9" width="52" hidden="0" customWidth="1"/>
    <x:col min="10" max="10" width="15" hidden="0" customWidth="1"/>
    <x:col min="11" max="11" width="45" hidden="0" customWidth="1"/>
  </x:cols>
  <x:sheetData>
    <x:row r="1">
      <x:c r="A1" s="5" t="str">
        <x:v>ID</x:v>
      </x:c>
      <x:c r="B1" s="5" t="str">
        <x:v>Complexo</x:v>
      </x:c>
      <x:c r="C1" s="5" t="str">
        <x:v>UF</x:v>
      </x:c>
      <x:c r="D1" s="5" t="str">
        <x:v>Município</x:v>
      </x:c>
      <x:c r="E1" s="5" t="str">
        <x:v>Arquivo</x:v>
      </x:c>
      <x:c r="F1" s="5" t="str">
        <x:v>Caminho no webmap</x:v>
      </x:c>
      <x:c r="G1" s="5" t="str">
        <x:v>Fonte da imagem</x:v>
      </x:c>
      <x:c r="H1" s="5" t="str">
        <x:v>Correspondência</x:v>
      </x:c>
      <x:c r="I1" s="5" t="str">
        <x:v>Observação</x:v>
      </x:c>
      <x:c r="J1" s="5" t="str">
        <x:v>Qtd. usinas SIGA</x:v>
      </x:c>
      <x:c r="K1" s="5" t="str">
        <x:v>Usinas geradoras</x:v>
      </x:c>
    </x:row>
    <x:row r="2" ht="36" customHeight="1">
      <x:c r="A2" s="8" t="n">
        <x:v>1</x:v>
      </x:c>
      <x:c r="B2" s="8" t="str">
        <x:v>Angico</x:v>
      </x:c>
      <x:c r="C2" s="8" t="str">
        <x:v>PB</x:v>
      </x:c>
      <x:c r="D2" s="8" t="str">
        <x:v>Malta</x:v>
      </x:c>
      <x:c r="E2" s="8" t="str">
        <x:v>angico.jpg</x:v>
      </x:c>
      <x:c r="F2" s="8" t="str">
        <x:v>assets/images/angico.jpg</x:v>
      </x:c>
      <x:c r="G2" s="8" t="str">
        <x:v>https://pt.wikipedia.org/wiki/Usina_Solar_Angicos_I</x:v>
      </x:c>
      <x:c r="H2" s="8" t="str">
        <x:v>nominal</x:v>
      </x:c>
      <x:c r="I2" s="8" t="str">
        <x:v>Fotografia nominal do complexo Angico/Malta.</x:v>
      </x:c>
      <x:c r="J2" s="8" t="n">
        <x:v>1</x:v>
      </x:c>
      <x:c r="K2" s="8" t="str">
        <x:v>Angico I</x:v>
      </x:c>
    </x:row>
    <x:row r="3" ht="36" customHeight="1">
      <x:c r="A3" s="8" t="n">
        <x:v>2</x:v>
      </x:c>
      <x:c r="B3" s="8" t="str">
        <x:v>Coremas</x:v>
      </x:c>
      <x:c r="C3" s="8" t="str">
        <x:v>PB</x:v>
      </x:c>
      <x:c r="D3" s="8" t="str">
        <x:v>Coremas</x:v>
      </x:c>
      <x:c r="E3" s="8" t="str">
        <x:v>coremas.webp</x:v>
      </x:c>
      <x:c r="F3" s="8" t="str">
        <x:v>assets/images/coremas.webp</x:v>
      </x:c>
      <x:c r="G3" s="8" t="str">
        <x:v>https://jornaldaparaiba.com.br/politica/conversa-politica/impactos-socioambientais-parques-eolicos-usinas-solares-pb</x:v>
      </x:c>
      <x:c r="H3" s="8" t="str">
        <x:v>nominal</x:v>
      </x:c>
      <x:c r="I3" s="8" t="str">
        <x:v>Correspondência nominal entre feição, arquivo e fonte do acervo.</x:v>
      </x:c>
      <x:c r="J3" s="8" t="n">
        <x:v>8</x:v>
      </x:c>
      <x:c r="K3" s="8" t="str">
        <x:v>Coremas I; Coremas III; Coremas IV; Coremas VI; Coremas VII; Coremas V; Coremas II; Coremas VIII</x:v>
      </x:c>
    </x:row>
    <x:row r="4" ht="36" customHeight="1">
      <x:c r="A4" s="8" t="n">
        <x:v>3</x:v>
      </x:c>
      <x:c r="B4" s="8" t="str">
        <x:v>Brígida</x:v>
      </x:c>
      <x:c r="C4" s="8" t="str">
        <x:v>PE</x:v>
      </x:c>
      <x:c r="D4" s="8" t="str">
        <x:v>São José do Belmonte</x:v>
      </x:c>
      <x:c r="E4" s="8" t="str">
        <x:v>brigida.jpg</x:v>
      </x:c>
      <x:c r="F4" s="8" t="str">
        <x:v>assets/images/brigida.jpg</x:v>
      </x:c>
      <x:c r="G4" s="8" t="str">
        <x:v>https://www.energiasolarshop.com.br/post/solatio-inaugura-primeira-usina-de-complexo-de-810-mwp-1</x:v>
      </x:c>
      <x:c r="H4" s="8" t="str">
        <x:v>nominal</x:v>
      </x:c>
      <x:c r="I4" s="8" t="str">
        <x:v>Fotografia identificada como Usina Solar Brígida, em São José do Belmonte.</x:v>
      </x:c>
      <x:c r="J4" s="8" t="n">
        <x:v>2</x:v>
      </x:c>
      <x:c r="K4" s="8" t="str">
        <x:v>Brígida; Brigida 2</x:v>
      </x:c>
    </x:row>
    <x:row r="5" ht="36" customHeight="1">
      <x:c r="A5" s="8" t="n">
        <x:v>4</x:v>
      </x:c>
      <x:c r="B5" s="8" t="str">
        <x:v>Belmonte</x:v>
      </x:c>
      <x:c r="C5" s="8" t="str">
        <x:v>PE</x:v>
      </x:c>
      <x:c r="D5" s="8" t="str">
        <x:v>São José do Belmonte</x:v>
      </x:c>
      <x:c r="E5" s="8" t="str">
        <x:v>belmonte.jpeg</x:v>
      </x:c>
      <x:c r="F5" s="8" t="str">
        <x:v>assets/images/belmonte.jpeg</x:v>
      </x:c>
      <x:c r="G5" s="8" t="str">
        <x:v>https://atk.ind.br/obras/cobra-brasil-montagem-eletro-civil-de-300mw-da-ufv-belmonte-i-ii/</x:v>
      </x:c>
      <x:c r="H5" s="8" t="str">
        <x:v>nominal</x:v>
      </x:c>
      <x:c r="I5" s="8" t="str">
        <x:v>Correspondência nominal entre feição, arquivo e fonte do acervo.</x:v>
      </x:c>
      <x:c r="J5" s="8" t="n">
        <x:v>10</x:v>
      </x:c>
      <x:c r="K5" s="8" t="str">
        <x:v>Belmonte 1-1; Belmonte 1-2; Belmonte 1-3; Belmonte 1-4; Belmonte 2-1; Belmonte 2-2; Belmonte 2-3; Belmonte 2-4; Belmonte 2-5; Belmonte 2-6</x:v>
      </x:c>
    </x:row>
    <x:row r="6" ht="36" customHeight="1">
      <x:c r="A6" s="8" t="n">
        <x:v>5</x:v>
      </x:c>
      <x:c r="B6" s="8" t="str">
        <x:v>Luiz Gonzaga</x:v>
      </x:c>
      <x:c r="C6" s="8" t="str">
        <x:v>PE</x:v>
      </x:c>
      <x:c r="D6" s="8" t="str">
        <x:v>Terra Nova</x:v>
      </x:c>
      <x:c r="E6" s="8" t="str">
        <x:v>luizGonzaga.webp</x:v>
      </x:c>
      <x:c r="F6" s="8" t="str">
        <x:v>assets/images/luizGonzaga.webp</x:v>
      </x:c>
      <x:c r="G6" s="8" t="str">
        <x:v>https://canalsolar.com.br/spic-brasil-adquire-participacao-majoritaria-complexo-solar-luiz-gonzaga/</x:v>
      </x:c>
      <x:c r="H6" s="8" t="str">
        <x:v>nominal</x:v>
      </x:c>
      <x:c r="I6" s="8" t="str">
        <x:v>Fonte nominal confirmada por pesquisa web.</x:v>
      </x:c>
      <x:c r="J6" s="8" t="n">
        <x:v>3</x:v>
      </x:c>
      <x:c r="K6" s="8" t="str">
        <x:v>Luiz Gonzaga I; Luiz Gonzaga II; Luiz Gonzaga III</x:v>
      </x:c>
    </x:row>
    <x:row r="7" ht="36" customHeight="1">
      <x:c r="A7" s="8" t="n">
        <x:v>6</x:v>
      </x:c>
      <x:c r="B7" s="8" t="str">
        <x:v>Solar Salgueiro</x:v>
      </x:c>
      <x:c r="C7" s="8" t="str">
        <x:v>PE</x:v>
      </x:c>
      <x:c r="D7" s="8" t="str">
        <x:v>Terra Nova</x:v>
      </x:c>
      <x:c r="E7" s="8" t="str">
        <x:v>salgueiro.webp</x:v>
      </x:c>
      <x:c r="F7" s="8" t="str">
        <x:v>assets/images/salgueiro.webp</x:v>
      </x:c>
      <x:c r="G7" s="8" t="str">
        <x:v>https://mvpower.com.br/ufv-salgueiro-pe/</x:v>
      </x:c>
      <x:c r="H7" s="8" t="str">
        <x:v>nominal</x:v>
      </x:c>
      <x:c r="I7" s="8" t="str">
        <x:v>Fotografia nominal da UFV Salgueiro.</x:v>
      </x:c>
      <x:c r="J7" s="8" t="n">
        <x:v>3</x:v>
      </x:c>
      <x:c r="K7" s="8" t="str">
        <x:v>Solar Salgueiro; Solar Salgueiro III; Solar Salgueiro II</x:v>
      </x:c>
    </x:row>
    <x:row r="8" ht="36" customHeight="1">
      <x:c r="A8" s="8" t="n">
        <x:v>7</x:v>
      </x:c>
      <x:c r="B8" s="8" t="str">
        <x:v>Serrita</x:v>
      </x:c>
      <x:c r="C8" s="8" t="str">
        <x:v>PE</x:v>
      </x:c>
      <x:c r="D8" s="8" t="str">
        <x:v>Serrita</x:v>
      </x:c>
      <x:c r="E8" s="8" t="str">
        <x:v>serrita.jpg</x:v>
      </x:c>
      <x:c r="F8" s="8" t="str">
        <x:v>assets/images/serrita.jpg</x:v>
      </x:c>
      <x:c r="G8" s="8" t="str">
        <x:v>https://pt.linkedin.com/posts/statkraft_statkraftbrasil-energiarenov%C3%A1vel-energiasolar-activity-7275212778431205376-QK9L</x:v>
      </x:c>
      <x:c r="H8" s="8" t="str">
        <x:v>nominal</x:v>
      </x:c>
      <x:c r="I8" s="8" t="str">
        <x:v>Correspondência nominal entre feição, arquivo e fonte do acervo.</x:v>
      </x:c>
      <x:c r="J8" s="8" t="n">
        <x:v>2</x:v>
      </x:c>
      <x:c r="K8" s="8" t="str">
        <x:v>Serrita I (Antigo Enercom Serrita I); Serrita II (Antiga Enercom Serrita II)</x:v>
      </x:c>
    </x:row>
    <x:row r="9" ht="36" customHeight="1">
      <x:c r="A9" s="8" t="n">
        <x:v>8</x:v>
      </x:c>
      <x:c r="B9" s="8" t="str">
        <x:v>Pajeú</x:v>
      </x:c>
      <x:c r="C9" s="8" t="str">
        <x:v>PE</x:v>
      </x:c>
      <x:c r="D9" s="8" t="str">
        <x:v>Flores</x:v>
      </x:c>
      <x:c r="E9" s="8" t="str">
        <x:v>saoPedroPaulo.webp</x:v>
      </x:c>
      <x:c r="F9" s="8" t="str">
        <x:v>assets/images/saoPedroPaulo.webp</x:v>
      </x:c>
      <x:c r="G9" s="8" t="str">
        <x:v>https://www.kromaenergia.com.br/wp-content/uploads/2024/02/5-1024x538.webp</x:v>
      </x:c>
      <x:c r="H9" s="8" t="str">
        <x:v>representativa</x:v>
      </x:c>
      <x:c r="I9" s="8" t="str">
        <x:v>A feição não possui usina SIGA associada; imagem de usina fotovoltaica no município de Flores/PE.</x:v>
      </x:c>
      <x:c r="J9" s="8" t="n">
        <x:v>0</x:v>
      </x:c>
      <x:c r="K9" s="8" t="str"/>
    </x:row>
    <x:row r="10" ht="36" customHeight="1">
      <x:c r="A10" s="8" t="n">
        <x:v>9</x:v>
      </x:c>
      <x:c r="B10" s="8" t="str">
        <x:v>Xaxado</x:v>
      </x:c>
      <x:c r="C10" s="8" t="str">
        <x:v>PE</x:v>
      </x:c>
      <x:c r="D10" s="8" t="str">
        <x:v>São José do Belmonte</x:v>
      </x:c>
      <x:c r="E10" s="8" t="str">
        <x:v>xaxado.jpg</x:v>
      </x:c>
      <x:c r="F10" s="8" t="str">
        <x:v>assets/images/xaxado.jpg</x:v>
      </x:c>
      <x:c r="G10" s="8" t="str">
        <x:v>https://www.joaozinhoteles.com.br/regional/maior-parque-solar-do-brasil-sera-construido-em-sao-jose-do-belmonte-no-sertao-de-pe/</x:v>
      </x:c>
      <x:c r="H10" s="8" t="str">
        <x:v>nominal</x:v>
      </x:c>
      <x:c r="I10" s="8" t="str">
        <x:v>Correspondência nominal entre feição, arquivo e fonte do acervo.</x:v>
      </x:c>
      <x:c r="J10" s="8" t="n">
        <x:v>3</x:v>
      </x:c>
      <x:c r="K10" s="8" t="str">
        <x:v>Xaxado 1; Xaxado 2; Xaxado 3</x:v>
      </x:c>
    </x:row>
    <x:row r="11" ht="36" customHeight="1">
      <x:c r="A11" s="8" t="n">
        <x:v>10</x:v>
      </x:c>
      <x:c r="B11" s="8" t="str">
        <x:v>Ciranda</x:v>
      </x:c>
      <x:c r="C11" s="8" t="str">
        <x:v>PE</x:v>
      </x:c>
      <x:c r="D11" s="8" t="str">
        <x:v>São José do Belmonte</x:v>
      </x:c>
      <x:c r="E11" s="8" t="str">
        <x:v>ciranda.jpg</x:v>
      </x:c>
      <x:c r="F11" s="8" t="str">
        <x:v>assets/images/ciranda.jpg</x:v>
      </x:c>
      <x:c r="G11" s="8" t="str">
        <x:v>https://www.vinci.com/publi/vinci/a11y/2023/vinci-urd/article/94/</x:v>
      </x:c>
      <x:c r="H11" s="8" t="str">
        <x:v>contextual</x:v>
      </x:c>
      <x:c r="I11" s="8" t="str">
        <x:v>Imagem do polo fotovoltaico de São José do Belmonte; atribuição contextual para Ciranda.</x:v>
      </x:c>
      <x:c r="J11" s="8" t="n">
        <x:v>3</x:v>
      </x:c>
      <x:c r="K11" s="8" t="str">
        <x:v>Ciranda 1; Ciranda 2; Ciranda 3</x:v>
      </x:c>
    </x:row>
    <x:row r="12" ht="36" customHeight="1">
      <x:c r="A12" s="8" t="n">
        <x:v>11</x:v>
      </x:c>
      <x:c r="B12" s="8" t="str">
        <x:v>Bom Nome</x:v>
      </x:c>
      <x:c r="C12" s="8" t="str">
        <x:v>PE</x:v>
      </x:c>
      <x:c r="D12" s="8" t="str">
        <x:v>São José do Belmonte</x:v>
      </x:c>
      <x:c r="E12" s="8" t="str">
        <x:v>bomNome.webp</x:v>
      </x:c>
      <x:c r="F12" s="8" t="str">
        <x:v>assets/images/bomNome.webp</x:v>
      </x:c>
      <x:c r="G12" s="8" t="str">
        <x:v>https://www.comerc.com.br/usinas/bon-nome</x:v>
      </x:c>
      <x:c r="H12" s="8" t="str">
        <x:v>nominal</x:v>
      </x:c>
      <x:c r="I12" s="8" t="str">
        <x:v>Correspondência nominal entre feição, arquivo e fonte do acervo.</x:v>
      </x:c>
      <x:c r="J12" s="8" t="n">
        <x:v>2</x:v>
      </x:c>
      <x:c r="K12" s="8" t="str">
        <x:v>Bom Nome 1-5; Bom Nome 1-6</x:v>
      </x:c>
    </x:row>
    <x:row r="13" ht="36" customHeight="1">
      <x:c r="A13" s="8" t="n">
        <x:v>12</x:v>
      </x:c>
      <x:c r="B13" s="8" t="str">
        <x:v>Sol do Agreste</x:v>
      </x:c>
      <x:c r="C13" s="8" t="str">
        <x:v>PE</x:v>
      </x:c>
      <x:c r="D13" s="8" t="str">
        <x:v>Tacaimbó</x:v>
      </x:c>
      <x:c r="E13" s="8" t="str">
        <x:v>solDoAgreste.jpg</x:v>
      </x:c>
      <x:c r="F13" s="8" t="str">
        <x:v>assets/images/solDoAgreste.jpg</x:v>
      </x:c>
      <x:c r="G13" s="8" t="str">
        <x:v>https://brasilenergia.com.br/energia/solar/complexo-sol-do-agreste-agrega-170-mw-ao-sistema-eletrico</x:v>
      </x:c>
      <x:c r="H13" s="8" t="str">
        <x:v>nominal</x:v>
      </x:c>
      <x:c r="I13" s="8" t="str">
        <x:v>Correspondência nominal entre feição, arquivo e fonte do acervo.</x:v>
      </x:c>
      <x:c r="J13" s="8" t="n">
        <x:v>6</x:v>
      </x:c>
      <x:c r="K13" s="8" t="str">
        <x:v>Sol do Agreste I; Sol do Agreste II; Sol do Agreste III; Sol do Agreste IV; Sol do Agreste V; Sol do Agreste VI</x:v>
      </x:c>
    </x:row>
    <x:row r="14" ht="36" customHeight="1">
      <x:c r="A14" s="8" t="n">
        <x:v>13</x:v>
      </x:c>
      <x:c r="B14" s="8" t="str">
        <x:v>Sertão</x:v>
      </x:c>
      <x:c r="C14" s="8" t="str">
        <x:v>PI</x:v>
      </x:c>
      <x:c r="D14" s="8" t="str">
        <x:v>João Costa</x:v>
      </x:c>
      <x:c r="E14" s="8" t="str">
        <x:v>saoJoao.jpg</x:v>
      </x:c>
      <x:c r="F14" s="8" t="str">
        <x:v>assets/images/saoJoao.jpg</x:v>
      </x:c>
      <x:c r="G14" s="8" t="str">
        <x:v>https://www.portalsanjoanense.com.br/images/noticias/223/567d425525d88f4b362649543437b70a.jpg</x:v>
      </x:c>
      <x:c r="H14" s="8" t="str">
        <x:v>contextual</x:v>
      </x:c>
      <x:c r="I14" s="8" t="str">
        <x:v>Imagem regional do par de projetos Sertão I/Sobral I documentado pela ANEEL.</x:v>
      </x:c>
      <x:c r="J14" s="8" t="n">
        <x:v>1</x:v>
      </x:c>
      <x:c r="K14" s="8" t="str">
        <x:v>Sertão 1</x:v>
      </x:c>
    </x:row>
    <x:row r="15" ht="36" customHeight="1">
      <x:c r="A15" s="8" t="n">
        <x:v>14</x:v>
      </x:c>
      <x:c r="B15" s="8" t="str">
        <x:v>São Pedro e Paulo</x:v>
      </x:c>
      <x:c r="C15" s="8" t="str">
        <x:v>PE</x:v>
      </x:c>
      <x:c r="D15" s="8" t="str">
        <x:v>Flores</x:v>
      </x:c>
      <x:c r="E15" s="8" t="str">
        <x:v>saoPedroPaulo.webp</x:v>
      </x:c>
      <x:c r="F15" s="8" t="str">
        <x:v>assets/images/saoPedroPaulo.webp</x:v>
      </x:c>
      <x:c r="G15" s="8" t="str">
        <x:v>https://www.kromaenergia.com.br/wp-content/uploads/2024/02/5-1024x538.webp</x:v>
      </x:c>
      <x:c r="H15" s="8" t="str">
        <x:v>nominal</x:v>
      </x:c>
      <x:c r="I15" s="8" t="str">
        <x:v>Fotografia nominal do parque São Pedro e Paulo.</x:v>
      </x:c>
      <x:c r="J15" s="8" t="n">
        <x:v>4</x:v>
      </x:c>
      <x:c r="K15" s="8" t="str">
        <x:v>São Pedro e Paulo I; São Pedro e Paulo V; São Pedro e Paulo VI; São Pedro e Paulo VIII</x:v>
      </x:c>
    </x:row>
    <x:row r="16" ht="36" customHeight="1">
      <x:c r="A16" s="8" t="n">
        <x:v>15</x:v>
      </x:c>
      <x:c r="B16" s="8" t="str">
        <x:v>São Gonçalo</x:v>
      </x:c>
      <x:c r="C16" s="8" t="str">
        <x:v>PI</x:v>
      </x:c>
      <x:c r="D16" s="8" t="str">
        <x:v>São Gonçalo do Gurguéia</x:v>
      </x:c>
      <x:c r="E16" s="8" t="str">
        <x:v>saoGoncalo.jpeg</x:v>
      </x:c>
      <x:c r="F16" s="8" t="str">
        <x:v>assets/images/saoGoncalo.jpeg</x:v>
      </x:c>
      <x:c r="G16" s="8" t="str">
        <x:v>https://www.enelgreenpower.com/pt/nossos-projetos/highlights/parque-solar-sao-goncalo</x:v>
      </x:c>
      <x:c r="H16" s="8" t="str">
        <x:v>nominal</x:v>
      </x:c>
      <x:c r="I16" s="8" t="str">
        <x:v>Fotografia nominal do complexo São Gonçalo.</x:v>
      </x:c>
      <x:c r="J16" s="8" t="n">
        <x:v>18</x:v>
      </x:c>
      <x:c r="K16" s="8" t="str">
        <x:v>São Gonçalo 1; São Gonçalo 2; São Gonçalo 3; São Gonçalo 4; São Gonçalo 5; São Gonçalo 6; São Gonçalo 7; São Gonçalo 8; São Gonçalo 10; São Gonçalo 11; São Gonçalo 12; São Gonçalo 14; São Gonçalo 15; São Gonçalo 17; São Gonçalo 18; São Gonçalo 19; São Gonçalo 21; São Gonçalo 22</x:v>
      </x:c>
    </x:row>
    <x:row r="17" ht="36" customHeight="1">
      <x:c r="A17" s="8" t="n">
        <x:v>16</x:v>
      </x:c>
      <x:c r="B17" s="8" t="str">
        <x:v>Maravilhas</x:v>
      </x:c>
      <x:c r="C17" s="8" t="str">
        <x:v>PE</x:v>
      </x:c>
      <x:c r="D17" s="8" t="str">
        <x:v>Pedras de Fogo</x:v>
      </x:c>
      <x:c r="E17" s="8" t="str">
        <x:v>maravilhas.jpg</x:v>
      </x:c>
      <x:c r="F17" s="8" t="str">
        <x:v>assets/images/maravilhas.jpg</x:v>
      </x:c>
      <x:c r="G17" s="8" t="str">
        <x:v>https://atiaiarenovaveis.com.br/usinas-solares-maravilhas-i-e-ii-ja-estao-em-operacao/</x:v>
      </x:c>
      <x:c r="H17" s="8" t="str">
        <x:v>nominal</x:v>
      </x:c>
      <x:c r="I17" s="8" t="str">
        <x:v>Correspondência nominal entre feição, arquivo e fonte do acervo.</x:v>
      </x:c>
      <x:c r="J17" s="8" t="n">
        <x:v>2</x:v>
      </x:c>
      <x:c r="K17" s="8" t="str">
        <x:v>Maravilhas I; Maravilhas II</x:v>
      </x:c>
    </x:row>
    <x:row r="18" ht="36" customHeight="1">
      <x:c r="A18" s="8" t="n">
        <x:v>17</x:v>
      </x:c>
      <x:c r="B18" s="8" t="str">
        <x:v>Sol do Piauí</x:v>
      </x:c>
      <x:c r="C18" s="8" t="str">
        <x:v>PI</x:v>
      </x:c>
      <x:c r="D18" s="8" t="str">
        <x:v>Curral Novo do Piauí</x:v>
      </x:c>
      <x:c r="E18" s="8" t="str">
        <x:v>solDoPiaui.webp</x:v>
      </x:c>
      <x:c r="F18" s="8" t="str">
        <x:v>assets/images/solDoPiaui.webp</x:v>
      </x:c>
      <x:c r="G18" s="8" t="str">
        <x:v>https://brasilenergia.com.br/energia/usina-solar-sol-do-piaui-entra-em-operacao-comercial/</x:v>
      </x:c>
      <x:c r="H18" s="8" t="str">
        <x:v>nominal</x:v>
      </x:c>
      <x:c r="I18" s="8" t="str">
        <x:v>Correspondência nominal entre feição, arquivo e fonte do acervo.</x:v>
      </x:c>
      <x:c r="J18" s="8" t="n">
        <x:v>1</x:v>
      </x:c>
      <x:c r="K18" s="8" t="str">
        <x:v>Sol do Piauí</x:v>
      </x:c>
    </x:row>
    <x:row r="19" ht="36" customHeight="1">
      <x:c r="A19" s="8" t="n">
        <x:v>18</x:v>
      </x:c>
      <x:c r="B19" s="8" t="str">
        <x:v>Fazenda Esmeralda</x:v>
      </x:c>
      <x:c r="C19" s="8" t="str">
        <x:v>PE</x:v>
      </x:c>
      <x:c r="D19" s="8" t="str">
        <x:v>Agrestina</x:v>
      </x:c>
      <x:c r="E19" s="8" t="str">
        <x:v>fazendaEsmeralda.webp</x:v>
      </x:c>
      <x:c r="F19" s="8" t="str">
        <x:v>assets/images/fazendaEsmeralda.webp</x:v>
      </x:c>
      <x:c r="G19" s="8" t="str">
        <x:v>https://nobilesol.com.br/projeto/ufv-esmeraldas-i/</x:v>
      </x:c>
      <x:c r="H19" s="8" t="str">
        <x:v>nominal</x:v>
      </x:c>
      <x:c r="I19" s="8" t="str">
        <x:v>Correspondência nominal entre feição, arquivo e fonte do acervo.</x:v>
      </x:c>
      <x:c r="J19" s="8" t="n">
        <x:v>1</x:v>
      </x:c>
      <x:c r="K19" s="8" t="str">
        <x:v>Fazenda Esmeralda</x:v>
      </x:c>
    </x:row>
    <x:row r="20" ht="36" customHeight="1">
      <x:c r="A20" s="8" t="n">
        <x:v>19</x:v>
      </x:c>
      <x:c r="B20" s="8" t="str">
        <x:v>Panorama</x:v>
      </x:c>
      <x:c r="C20" s="8" t="str">
        <x:v>PI</x:v>
      </x:c>
      <x:c r="D20" s="8" t="str">
        <x:v>Ribeiro Gonçalves</x:v>
      </x:c>
      <x:c r="E20" s="8" t="str">
        <x:v>panorama.png</x:v>
      </x:c>
      <x:c r="F20" s="8" t="str">
        <x:v>assets/images/panorama.png</x:v>
      </x:c>
      <x:c r="G20" s="8" t="str">
        <x:v>https://www.iscobra.com/en/project/panorama-photovoltaic-plant/</x:v>
      </x:c>
      <x:c r="H20" s="8" t="str">
        <x:v>nominal</x:v>
      </x:c>
      <x:c r="I20" s="8" t="str">
        <x:v>Fotografia nominal do Complexo Panorama.</x:v>
      </x:c>
      <x:c r="J20" s="8" t="n">
        <x:v>3</x:v>
      </x:c>
      <x:c r="K20" s="8" t="str">
        <x:v>Panorama 01; Panorama 02; Panorama 03</x:v>
      </x:c>
    </x:row>
    <x:row r="21" ht="36" customHeight="1">
      <x:c r="A21" s="8" t="n">
        <x:v>20</x:v>
      </x:c>
      <x:c r="B21" s="8" t="str">
        <x:v>Ribeiro Gonçalves</x:v>
      </x:c>
      <x:c r="C21" s="8" t="str">
        <x:v>PI</x:v>
      </x:c>
      <x:c r="D21" s="8" t="str">
        <x:v>Ribeiro Gonçalves</x:v>
      </x:c>
      <x:c r="E21" s="8" t="str">
        <x:v>ribeiroGoncalves.jpeg</x:v>
      </x:c>
      <x:c r="F21" s="8" t="str">
        <x:v>assets/images/ribeiroGoncalves.jpeg</x:v>
      </x:c>
      <x:c r="G21" s="8" t="str">
        <x:v>https://www.pv-magazine-brasil.com/wp-content/uploads/2024/06/echoenergia.jpeg</x:v>
      </x:c>
      <x:c r="H21" s="8" t="str">
        <x:v>nominal</x:v>
      </x:c>
      <x:c r="I21" s="8" t="str">
        <x:v>Fotografia nominal fornecida no acervo.</x:v>
      </x:c>
      <x:c r="J21" s="8" t="n">
        <x:v>7</x:v>
      </x:c>
      <x:c r="K21" s="8" t="str">
        <x:v>Ribeiro Gonçalves I; Ribeiro Gonçalves II; Ribeiro Gonçalves III; Ribeiro Gonçalves IV; Ribeiro Gonçalves VI; Ribeiro Gonçalves VII; Ribeiro Gonçalves VIII</x:v>
      </x:c>
    </x:row>
    <x:row r="22" ht="36" customHeight="1">
      <x:c r="A22" s="8" t="n">
        <x:v>21</x:v>
      </x:c>
      <x:c r="B22" s="8" t="str">
        <x:v>Caldeirão Grande</x:v>
      </x:c>
      <x:c r="C22" s="8" t="str">
        <x:v>PI</x:v>
      </x:c>
      <x:c r="D22" s="8" t="str">
        <x:v>Caldeirão Grande</x:v>
      </x:c>
      <x:c r="E22" s="8" t="str">
        <x:v>caldeiraoGrande.jpg</x:v>
      </x:c>
      <x:c r="F22" s="8" t="str">
        <x:v>assets/images/caldeiraoGrande.jpg</x:v>
      </x:c>
      <x:c r="G22" s="8" t="str">
        <x:v>https://www.rota343.com.br/noticia/complexo-solar-caldeirao-grande-2-e-inaugurado-no-piaui/</x:v>
      </x:c>
      <x:c r="H22" s="8" t="str">
        <x:v>nominal</x:v>
      </x:c>
      <x:c r="I22" s="8" t="str">
        <x:v>Correspondência nominal entre feição, arquivo e fonte do acervo.</x:v>
      </x:c>
      <x:c r="J22" s="8" t="n">
        <x:v>7</x:v>
      </x:c>
      <x:c r="K22" s="8" t="str">
        <x:v>Caldeirão Grande III (Antiga Santa Veridiana); Caldeirão Grande VI (Antiga Santa Verônica); Caldeirão Grande VII (Antiga São Moises); Caldeirão Grande V (Antiga São Felix); Caldeirão Grande I (Antiga São Basílio); Caldeirão Grande II (Antiga Santo Anastácio); Caldeirão Grande IV (Antiga Santo Amaro do Piauí)</x:v>
      </x:c>
    </x:row>
    <x:row r="23" ht="36" customHeight="1">
      <x:c r="A23" s="8" t="n">
        <x:v>22</x:v>
      </x:c>
      <x:c r="B23" s="8" t="str">
        <x:v>São João do Piaui</x:v>
      </x:c>
      <x:c r="C23" s="8" t="str">
        <x:v>PI</x:v>
      </x:c>
      <x:c r="D23" s="8" t="str">
        <x:v>São João do Piaui</x:v>
      </x:c>
      <x:c r="E23" s="8" t="str">
        <x:v>saoJoao.jpg</x:v>
      </x:c>
      <x:c r="F23" s="8" t="str">
        <x:v>assets/images/saoJoao.jpg</x:v>
      </x:c>
      <x:c r="G23" s="8" t="str">
        <x:v>https://www.portalsanjoanense.com.br/images/noticias/223/567d425525d88f4b362649543437b70a.jpg</x:v>
      </x:c>
      <x:c r="H23" s="8" t="str">
        <x:v>nominal</x:v>
      </x:c>
      <x:c r="I23" s="8" t="str">
        <x:v>Fotografia vinculada à usina em São João do Piauí.</x:v>
      </x:c>
      <x:c r="J23" s="8" t="n">
        <x:v>6</x:v>
      </x:c>
      <x:c r="K23" s="8" t="str">
        <x:v>ETESA 17 São João do Piauí I; ETESA 18 São João do Piauí II; ETESA 19 São João do Piauí III; ETESA 20 São João do Piauí IV; ETESA 21 São João do Piauí V; ETESA 22 São João do Piauí VI</x:v>
      </x:c>
    </x:row>
    <x:row r="24" ht="36" customHeight="1">
      <x:c r="A24" s="8" t="n">
        <x:v>23</x:v>
      </x:c>
      <x:c r="B24" s="8" t="str">
        <x:v>Sobral</x:v>
      </x:c>
      <x:c r="C24" s="8" t="str">
        <x:v>PI</x:v>
      </x:c>
      <x:c r="D24" s="8" t="str">
        <x:v>São João do Piaui</x:v>
      </x:c>
      <x:c r="E24" s="8" t="str">
        <x:v>saoJoao.jpg</x:v>
      </x:c>
      <x:c r="F24" s="8" t="str">
        <x:v>assets/images/saoJoao.jpg</x:v>
      </x:c>
      <x:c r="G24" s="8" t="str">
        <x:v>https://www.portalsanjoanense.com.br/images/noticias/223/567d425525d88f4b362649543437b70a.jpg</x:v>
      </x:c>
      <x:c r="H24" s="8" t="str">
        <x:v>contextual</x:v>
      </x:c>
      <x:c r="I24" s="8" t="str">
        <x:v>Imagem regional do projeto Sobral I em São João do Piauí.</x:v>
      </x:c>
      <x:c r="J24" s="8" t="n">
        <x:v>1</x:v>
      </x:c>
      <x:c r="K24" s="8" t="str">
        <x:v>Sobral 1</x:v>
      </x:c>
    </x:row>
    <x:row r="25" ht="36" customHeight="1">
      <x:c r="A25" s="8" t="n">
        <x:v>24</x:v>
      </x:c>
      <x:c r="B25" s="8" t="str">
        <x:v>Nova Olinda</x:v>
      </x:c>
      <x:c r="C25" s="8" t="str">
        <x:v>PI</x:v>
      </x:c>
      <x:c r="D25" s="8" t="str">
        <x:v>Ribeira do Piauí</x:v>
      </x:c>
      <x:c r="E25" s="8" t="str">
        <x:v>novaOlinda.jpg</x:v>
      </x:c>
      <x:c r="F25" s="8" t="str">
        <x:v>assets/images/novaOlinda.jpg</x:v>
      </x:c>
      <x:c r="G25" s="8" t="str">
        <x:v>http://antigo.seplan.pi.gov.br/noticia.php?id=690</x:v>
      </x:c>
      <x:c r="H25" s="8" t="str">
        <x:v>nominal</x:v>
      </x:c>
      <x:c r="I25" s="8" t="str">
        <x:v>Correspondência nominal entre feição, arquivo e fonte do acervo.</x:v>
      </x:c>
      <x:c r="J25" s="8" t="n">
        <x:v>7</x:v>
      </x:c>
      <x:c r="K25" s="8" t="str">
        <x:v>Nova Olinda 8; Nova Olinda 9; Nova Olinda 10; Nova Olinda 11; Nova Olinda 12; Nova Olinda 13; Nova Olinda 14</x:v>
      </x:c>
    </x:row>
    <x:row r="26" ht="36" customHeight="1">
      <x:c r="A26" s="8" t="n">
        <x:v>25</x:v>
      </x:c>
      <x:c r="B26" s="8" t="str">
        <x:v>Serra do Mel</x:v>
      </x:c>
      <x:c r="C26" s="8" t="str">
        <x:v>RN</x:v>
      </x:c>
      <x:c r="D26" s="8" t="str">
        <x:v>Serra do Mel</x:v>
      </x:c>
      <x:c r="E26" s="8" t="str">
        <x:v>serraDoMel.webp</x:v>
      </x:c>
      <x:c r="F26" s="8" t="str">
        <x:v>assets/images/serraDoMel.webp</x:v>
      </x:c>
      <x:c r="G26" s="8" t="str">
        <x:v>https://uploads.eixos.com.br/2023/06/serra-do-mel-voltalia-usina-solar-fotovoltaica2-768x383.png</x:v>
      </x:c>
      <x:c r="H26" s="8" t="str">
        <x:v>nominal</x:v>
      </x:c>
      <x:c r="I26" s="8" t="str">
        <x:v>Correspondência nominal entre feição, arquivo e fonte do acervo.</x:v>
      </x:c>
      <x:c r="J26" s="8" t="n">
        <x:v>6</x:v>
      </x:c>
      <x:c r="K26" s="8" t="str">
        <x:v>Serra do Mel I; Serra do Mel II; Serra do Mel V (Antiga Serra do Mel VII); Serra do Mel VI (Antiga Serra do Mel VIII); Serra do Mel III (Antiga Serra do Mel IX); Serra do Mel IV (Antiga Serra do Mel X)</x:v>
      </x:c>
    </x:row>
    <x:row r="27" ht="36" customHeight="1">
      <x:c r="A27" s="8" t="n">
        <x:v>26</x:v>
      </x:c>
      <x:c r="B27" s="8" t="str">
        <x:v>Marangatu</x:v>
      </x:c>
      <x:c r="C27" s="8" t="str">
        <x:v>PI</x:v>
      </x:c>
      <x:c r="D27" s="8" t="str">
        <x:v>Brasileira</x:v>
      </x:c>
      <x:c r="E27" s="8" t="str">
        <x:v>marangatu.jpg</x:v>
      </x:c>
      <x:c r="F27" s="8" t="str">
        <x:v>assets/images/marangatu.jpg</x:v>
      </x:c>
      <x:c r="G27" s="8" t="str">
        <x:v>https://www.bnengenharia.com.br/obras/ufv-marangatu-445-mw</x:v>
      </x:c>
      <x:c r="H27" s="8" t="str">
        <x:v>nominal</x:v>
      </x:c>
      <x:c r="I27" s="8" t="str">
        <x:v>Correspondência nominal entre feição, arquivo e fonte do acervo.</x:v>
      </x:c>
      <x:c r="J27" s="8" t="n">
        <x:v>12</x:v>
      </x:c>
      <x:c r="K27" s="8" t="str">
        <x:v>Marangatu 4; Marangatu 5; Marangatu 6; Marangatu 1; Marangatu 2; Marangatu 3; Marangatu 7; Marangatu 8; Marangatu 9; Marangatu 10; Marangatu 11; Marangatu 12</x:v>
      </x:c>
    </x:row>
    <x:row r="28" ht="36" customHeight="1">
      <x:c r="A28" s="8" t="n">
        <x:v>27</x:v>
      </x:c>
      <x:c r="B28" s="8" t="str">
        <x:v>Dunamis</x:v>
      </x:c>
      <x:c r="C28" s="8" t="str">
        <x:v>RN</x:v>
      </x:c>
      <x:c r="D28" s="8" t="str">
        <x:v>Santana do Matos</x:v>
      </x:c>
      <x:c r="E28" s="8" t="str">
        <x:v>dunamis.webp</x:v>
      </x:c>
      <x:c r="F28" s="8" t="str">
        <x:v>assets/images/dunamis.webp</x:v>
      </x:c>
      <x:c r="G28" s="8" t="str">
        <x:v>https://novonoticias.com.br/complexo-solar-inicia-operacao-no-rn-e-vai-abastecer-fabricas-da-mercedes-benz-no-brasil/</x:v>
      </x:c>
      <x:c r="H28" s="8" t="str">
        <x:v>nominal</x:v>
      </x:c>
      <x:c r="I28" s="8" t="str">
        <x:v>Correspondência nominal entre feição, arquivo e fonte do acervo.</x:v>
      </x:c>
      <x:c r="J28" s="8" t="n">
        <x:v>4</x:v>
      </x:c>
      <x:c r="K28" s="8" t="str">
        <x:v>Dunamis I; Dunamis II; Dunamis III; Dunamis IV</x:v>
      </x:c>
    </x:row>
    <x:row r="29" ht="36" customHeight="1">
      <x:c r="A29" s="8" t="n">
        <x:v>28</x:v>
      </x:c>
      <x:c r="B29" s="8" t="str">
        <x:v>Floresta</x:v>
      </x:c>
      <x:c r="C29" s="8" t="str">
        <x:v>RN</x:v>
      </x:c>
      <x:c r="D29" s="8" t="str">
        <x:v>Areia Branca</x:v>
      </x:c>
      <x:c r="E29" s="8" t="str">
        <x:v>floresta.jpg</x:v>
      </x:c>
      <x:c r="F29" s="8" t="str">
        <x:v>assets/images/floresta.jpg</x:v>
      </x:c>
      <x:c r="G29" s="8" t="str">
        <x:v>https://costabrancanews.com/wp-content/uploads/2020/11/thumbnail_DJI_0102.jpg</x:v>
      </x:c>
      <x:c r="H29" s="8" t="str">
        <x:v>nominal</x:v>
      </x:c>
      <x:c r="I29" s="8" t="str">
        <x:v>Correspondência nominal entre feição, arquivo e fonte do acervo.</x:v>
      </x:c>
      <x:c r="J29" s="8" t="n">
        <x:v>3</x:v>
      </x:c>
      <x:c r="K29" s="8" t="str">
        <x:v>Floresta III; Floresta II; Floresta I</x:v>
      </x:c>
    </x:row>
    <x:row r="30" ht="36" customHeight="1">
      <x:c r="A30" s="8" t="n">
        <x:v>29</x:v>
      </x:c>
      <x:c r="B30" s="8" t="str">
        <x:v>Mendubim</x:v>
      </x:c>
      <x:c r="C30" s="8" t="str">
        <x:v>RN</x:v>
      </x:c>
      <x:c r="D30" s="8" t="str">
        <x:v>Assu</x:v>
      </x:c>
      <x:c r="E30" s="8" t="str">
        <x:v>mendubim.webp</x:v>
      </x:c>
      <x:c r="F30" s="8" t="str">
        <x:v>assets/images/mendubim.webp</x:v>
      </x:c>
      <x:c r="G30" s="8" t="str">
        <x:v>https://canalsolar.com.br/wp-content/uploads/2024/04/complexo-solar-mendubim-inaugurado-jpg.webp</x:v>
      </x:c>
      <x:c r="H30" s="8" t="str">
        <x:v>nominal</x:v>
      </x:c>
      <x:c r="I30" s="8" t="str">
        <x:v>Correspondência nominal entre feição, arquivo e fonte do acervo.</x:v>
      </x:c>
      <x:c r="J30" s="8" t="n">
        <x:v>13</x:v>
      </x:c>
      <x:c r="K30" s="8" t="str">
        <x:v>Mendubim I; Mendubim II; Mendubim III; Mendubim IV; Mendubim V; Mendubim VI; Mendubim VII; Mendubim VIII; Mendubim IX; Mendubim X; Mendubim XI; Mendubim XII; Mendubim XIII</x:v>
      </x:c>
    </x:row>
    <x:row r="31" ht="36" customHeight="1">
      <x:c r="A31" s="8" t="n">
        <x:v>30</x:v>
      </x:c>
      <x:c r="B31" s="8" t="str">
        <x:v>Monte Verde</x:v>
      </x:c>
      <x:c r="C31" s="8" t="str">
        <x:v>RN</x:v>
      </x:c>
      <x:c r="D31" s="8" t="str">
        <x:v>Pedro Avelino</x:v>
      </x:c>
      <x:c r="E31" s="8" t="str">
        <x:v>monteVerde.webp</x:v>
      </x:c>
      <x:c r="F31" s="8" t="str">
        <x:v>assets/images/monteVerde.webp</x:v>
      </x:c>
      <x:c r="G31" s="8" t="str">
        <x:v>https://edp.com/pt/media/historias-edp/novos-parques-hibridos-entram-em-operacao</x:v>
      </x:c>
      <x:c r="H31" s="8" t="str">
        <x:v>nominal</x:v>
      </x:c>
      <x:c r="I31" s="8" t="str">
        <x:v>Correspondência nominal entre feição, arquivo e fonte do acervo.</x:v>
      </x:c>
      <x:c r="J31" s="8" t="n">
        <x:v>5</x:v>
      </x:c>
      <x:c r="K31" s="8" t="str">
        <x:v>Monte Verde Solar V; Monte Verde Solar VII; Monte Verde Solar II; Monte Verde Solar III; Monte Verde Solar IV</x:v>
      </x:c>
    </x:row>
    <x:row r="32" ht="36" customHeight="1">
      <x:c r="A32" s="8" t="n">
        <x:v>31</x:v>
      </x:c>
      <x:c r="B32" s="8" t="str">
        <x:v>Assú</x:v>
      </x:c>
      <x:c r="C32" s="8" t="str">
        <x:v>RN</x:v>
      </x:c>
      <x:c r="D32" s="8" t="str">
        <x:v>Assú</x:v>
      </x:c>
      <x:c r="E32" s="8" t="str">
        <x:v>assu.webp</x:v>
      </x:c>
      <x:c r="F32" s="8" t="str">
        <x:v>assets/images/assu.webp</x:v>
      </x:c>
      <x:c r="G32" s="8" t="str">
        <x:v>https://www.engie.com.br/usinas/usina-fotovoltaica-assu-v/</x:v>
      </x:c>
      <x:c r="H32" s="8" t="str">
        <x:v>nominal</x:v>
      </x:c>
      <x:c r="I32" s="8" t="str">
        <x:v>Correspondência nominal entre feição, arquivo e fonte do acervo.</x:v>
      </x:c>
      <x:c r="J32" s="8" t="n">
        <x:v>1</x:v>
      </x:c>
      <x:c r="K32" s="8" t="str">
        <x:v>Assú V</x:v>
      </x:c>
    </x:row>
    <x:row r="33" ht="36" customHeight="1">
      <x:c r="A33" s="8" t="n">
        <x:v>32</x:v>
      </x:c>
      <x:c r="B33" s="8" t="str">
        <x:v>Panati</x:v>
      </x:c>
      <x:c r="C33" s="8" t="str">
        <x:v>CE</x:v>
      </x:c>
      <x:c r="D33" s="8" t="str">
        <x:v>Jaguaretama</x:v>
      </x:c>
      <x:c r="E33" s="8" t="str">
        <x:v>panati.webp</x:v>
      </x:c>
      <x:c r="F33" s="8" t="str">
        <x:v>assets/images/panati.webp</x:v>
      </x:c>
      <x:c r="G33" s="8" t="str">
        <x:v>https://ciclovivo.com.br/wp-content/uploads/2024/06/ceara-piaui-energia-solar-ciclovivo1-1024x768.jpeg</x:v>
      </x:c>
      <x:c r="H33" s="8" t="str">
        <x:v>nominal</x:v>
      </x:c>
      <x:c r="I33" s="8" t="str">
        <x:v>Correspondência nominal entre feição, arquivo e fonte do acervo.</x:v>
      </x:c>
      <x:c r="J33" s="8" t="n">
        <x:v>8</x:v>
      </x:c>
      <x:c r="K33" s="8" t="str">
        <x:v>Panatí 1; Panatí 2; Panatí 3; Panatí 4; Panatí 5; Panatí 6; Sitiá 1; Sitiá 2</x:v>
      </x:c>
    </x:row>
    <x:row r="34" ht="36" customHeight="1">
      <x:c r="A34" s="8" t="n">
        <x:v>33</x:v>
      </x:c>
      <x:c r="B34" s="8" t="str">
        <x:v>Assú Sol</x:v>
      </x:c>
      <x:c r="C34" s="8" t="str">
        <x:v>RN</x:v>
      </x:c>
      <x:c r="D34" s="8" t="str">
        <x:v>Assú</x:v>
      </x:c>
      <x:c r="E34" s="8" t="str">
        <x:v>assuSol.jpg</x:v>
      </x:c>
      <x:c r="F34" s="8" t="str">
        <x:v>assets/images/assuSol.jpg</x:v>
      </x:c>
      <x:c r="G34" s="8" t="str">
        <x:v>https://tribunadonorte.com.br/wp-content/uploads/2024/04/20240410_6EC1_FT_Divulgacao.jpg</x:v>
      </x:c>
      <x:c r="H34" s="8" t="str">
        <x:v>nominal</x:v>
      </x:c>
      <x:c r="I34" s="8" t="str">
        <x:v>Correspondência nominal entre feição, arquivo e fonte do acervo.</x:v>
      </x:c>
      <x:c r="J34" s="8" t="n">
        <x:v>16</x:v>
      </x:c>
      <x:c r="K34" s="8" t="str">
        <x:v>Assu Sol 1; Assu Sol 2; Assu Sol 3; Assu Sol 4; Assu Sol 5; Assu Sol 6; Assu Sol 7; Assu Sol 8; Assu Sol 9; Assu Sol 10; Assu Sol 11; Assu Sol 12; Assu Sol 13; Assu Sol 14; Assu Sol 15; Assu Sol 16</x:v>
      </x:c>
    </x:row>
    <x:row r="35" ht="36" customHeight="1">
      <x:c r="A35" s="8" t="n">
        <x:v>34</x:v>
      </x:c>
      <x:c r="B35" s="8" t="str">
        <x:v>Bom Jardim</x:v>
      </x:c>
      <x:c r="C35" s="8" t="str">
        <x:v>CE</x:v>
      </x:c>
      <x:c r="D35" s="8" t="str">
        <x:v>Icó</x:v>
      </x:c>
      <x:c r="E35" s="8" t="str">
        <x:v>bomJardim.jpeg</x:v>
      </x:c>
      <x:c r="F35" s="8" t="str">
        <x:v>assets/images/bomJardim.jpeg</x:v>
      </x:c>
      <x:c r="G35" s="8" t="str">
        <x:v>https://www.brasil.qair.energy/wp-content/uploads/2026/03/IMG_8141-1200x800.jpeg</x:v>
      </x:c>
      <x:c r="H35" s="8" t="str">
        <x:v>nominal</x:v>
      </x:c>
      <x:c r="I35" s="8" t="str">
        <x:v>Correspondência nominal entre feição, arquivo e fonte do acervo.</x:v>
      </x:c>
      <x:c r="J35" s="8" t="n">
        <x:v>3</x:v>
      </x:c>
      <x:c r="K35" s="8" t="str">
        <x:v>Bom Jardim I; Bom Jardim II; Bom Jardim III</x:v>
      </x:c>
    </x:row>
    <x:row r="36" ht="36" customHeight="1">
      <x:c r="A36" s="8" t="n">
        <x:v>35</x:v>
      </x:c>
      <x:c r="B36" s="8" t="str">
        <x:v>Solar Irecê</x:v>
      </x:c>
      <x:c r="C36" s="8" t="str">
        <x:v>BA</x:v>
      </x:c>
      <x:c r="D36" s="8" t="str">
        <x:v>João Dourado</x:v>
      </x:c>
      <x:c r="E36" s="8" t="str">
        <x:v>irece.jpeg</x:v>
      </x:c>
      <x:c r="F36" s="8" t="str">
        <x:v>assets/images/irece.jpeg</x:v>
      </x:c>
      <x:c r="G36" s="8" t="str">
        <x:v>https://www.lmeng.com.br/projects/ufv-irece/</x:v>
      </x:c>
      <x:c r="H36" s="8" t="str">
        <x:v>nominal</x:v>
      </x:c>
      <x:c r="I36" s="8" t="str">
        <x:v>Fotografia nominal da UFV Irecê.</x:v>
      </x:c>
      <x:c r="J36" s="8" t="n">
        <x:v>2</x:v>
      </x:c>
      <x:c r="K36" s="8" t="str">
        <x:v>Solar Irecê; Solar Irecê 3</x:v>
      </x:c>
    </x:row>
    <x:row r="37" ht="36" customHeight="1">
      <x:c r="A37" s="8" t="n">
        <x:v>36</x:v>
      </x:c>
      <x:c r="B37" s="8" t="str">
        <x:v>Milagres</x:v>
      </x:c>
      <x:c r="C37" s="8" t="str">
        <x:v>CE</x:v>
      </x:c>
      <x:c r="D37" s="8" t="str">
        <x:v>Milagres</x:v>
      </x:c>
      <x:c r="E37" s="8" t="str">
        <x:v>milagres.jpg</x:v>
      </x:c>
      <x:c r="F37" s="8" t="str">
        <x:v>assets/images/milagres.jpg</x:v>
      </x:c>
      <x:c r="G37" s="8" t="str">
        <x:v>https://lightsourcebp.com/project/milagres-solar/</x:v>
      </x:c>
      <x:c r="H37" s="8" t="str">
        <x:v>nominal</x:v>
      </x:c>
      <x:c r="I37" s="8" t="str">
        <x:v>Correspondência nominal entre feição, arquivo e fonte do acervo.</x:v>
      </x:c>
      <x:c r="J37" s="8" t="n">
        <x:v>5</x:v>
      </x:c>
      <x:c r="K37" s="8" t="str">
        <x:v>Milagres I; Milagres II; Milagres III; Milagres V; Milagres IV</x:v>
      </x:c>
    </x:row>
    <x:row r="38" ht="36" customHeight="1">
      <x:c r="A38" s="8" t="n">
        <x:v>37</x:v>
      </x:c>
      <x:c r="B38" s="8" t="str">
        <x:v>Solar Sobrado</x:v>
      </x:c>
      <x:c r="C38" s="8" t="str">
        <x:v>BA</x:v>
      </x:c>
      <x:c r="D38" s="8" t="str">
        <x:v>Casa Nova</x:v>
      </x:c>
      <x:c r="E38" s="8" t="str">
        <x:v>solarSobrado.webp</x:v>
      </x:c>
      <x:c r="F38" s="8" t="str">
        <x:v>assets/images/solarSobrado.webp</x:v>
      </x:c>
      <x:c r="G38" s="8" t="str">
        <x:v>https://www.google.com/search?q=solar+sobrado+casa+nova+ba+energia+solar+fotovoltaica+ufv&amp;sca_esv=c22c990d6aa7f981&amp;sxsrf=APpeQnsdWFxntyYtxoYA-bJRxWgJU0UwfQ%3A1786396586234&amp;ei=qj96atLrDdqI5OUPx6LWkQY&amp;biw=1920&amp;bih=991&amp;ved=0ahUKEwjS6Mzv_ZaWAxVaBLkGHUeRNWIQ4dUDCBA&amp;uact=5&amp;oq=solar+sobrado+casa+nova+ba+energia+solar+fotovoltaica+ufv&amp;gs_lp=Egxnd3Mtd2l6LXNlcnAiOXNvbGFyIHNvYnJhZG8gY2FzYSBub3ZhIGJhIGVuZXJnaWEgc29sYXIgZm90b3ZvbHRhaWNhIHVmdjIFEAAY7wUyBRAAGO8FMgUQABjvBTIFEAAY7wVIkzRQ3Q9YtTBwAXgAkAEAmAHkAaABvRmqAQUwLjguOLgBA8gBAPgBAZgCCKACnwvCAggQABjvBRiwA8ICCBAhGKABGMMEmAMAiAYBkAYEkgcFMS4zLjSgB7EysgcFMC4zLjS4B5wLwgcDMC44yAcRgAgB&amp;sclient=gws-wiz-serp#lpg=cid:CgIgAQ%3D%3D,ik:CAoSF0NJSE0wb2dLRUlDQWdJRGs3LV9PMGdF</x:v>
      </x:c>
      <x:c r="H38" s="8" t="str">
        <x:v>nominal</x:v>
      </x:c>
      <x:c r="I38" s="8" t="str">
        <x:v>Correspondência nominal entre feição, arquivo e fonte do acervo.</x:v>
      </x:c>
      <x:c r="J38" s="8" t="n">
        <x:v>1</x:v>
      </x:c>
      <x:c r="K38" s="8" t="str">
        <x:v>Sobrado 1</x:v>
      </x:c>
    </x:row>
    <x:row r="39" ht="36" customHeight="1">
      <x:c r="A39" s="8" t="n">
        <x:v>38</x:v>
      </x:c>
      <x:c r="B39" s="8" t="str">
        <x:v>Mauriti</x:v>
      </x:c>
      <x:c r="C39" s="8" t="str">
        <x:v>CE</x:v>
      </x:c>
      <x:c r="D39" s="8" t="str">
        <x:v>Mauriti</x:v>
      </x:c>
      <x:c r="E39" s="8" t="str">
        <x:v>mauriti.jpg</x:v>
      </x:c>
      <x:c r="F39" s="8" t="str">
        <x:v>assets/images/mauriti.jpg</x:v>
      </x:c>
      <x:c r="G39" s="8" t="str">
        <x:v>https://en.powerchina.cn/2025-09/15/c_828999.htm</x:v>
      </x:c>
      <x:c r="H39" s="8" t="str">
        <x:v>nominal</x:v>
      </x:c>
      <x:c r="I39" s="8" t="str">
        <x:v>Correspondência nominal entre feição, arquivo e fonte do acervo.</x:v>
      </x:c>
      <x:c r="J39" s="8" t="n">
        <x:v>9</x:v>
      </x:c>
      <x:c r="K39" s="8" t="str">
        <x:v>Mauriti 1; Mauriti 2; Mauriti 3; Mauriti 4; Mauriti 5; Mauriti 6; Mauriti 7; Mauriti 8; Mauriti 9</x:v>
      </x:c>
    </x:row>
    <x:row r="40" ht="36" customHeight="1">
      <x:c r="A40" s="8" t="n">
        <x:v>39</x:v>
      </x:c>
      <x:c r="B40" s="8" t="str">
        <x:v>Verde Vale</x:v>
      </x:c>
      <x:c r="C40" s="8" t="str">
        <x:v>BA</x:v>
      </x:c>
      <x:c r="D40" s="8" t="str">
        <x:v>Guanambi</x:v>
      </x:c>
      <x:c r="E40" s="8" t="str">
        <x:v>verdeVale.jpg</x:v>
      </x:c>
      <x:c r="F40" s="8" t="str">
        <x:v>assets/images/verdeVale.jpg</x:v>
      </x:c>
      <x:c r="G40" s="8" t="str">
        <x:v>https://atiaiarenovaveis.com.br/nossas-usinas/</x:v>
      </x:c>
      <x:c r="H40" s="8" t="str">
        <x:v>nominal</x:v>
      </x:c>
      <x:c r="I40" s="8" t="str">
        <x:v>Correspondência nominal entre feição, arquivo e fonte do acervo.</x:v>
      </x:c>
      <x:c r="J40" s="8" t="n">
        <x:v>1</x:v>
      </x:c>
      <x:c r="K40" s="8" t="str">
        <x:v>Verde Vale III</x:v>
      </x:c>
    </x:row>
    <x:row r="41" ht="36" customHeight="1">
      <x:c r="A41" s="8" t="n">
        <x:v>40</x:v>
      </x:c>
      <x:c r="B41" s="8" t="str">
        <x:v>Sol de Brotas</x:v>
      </x:c>
      <x:c r="C41" s="8" t="str">
        <x:v>BA</x:v>
      </x:c>
      <x:c r="D41" s="8" t="str">
        <x:v>Brotas de Macaúbas</x:v>
      </x:c>
      <x:c r="E41" s="8" t="str">
        <x:v>solDeBrotas.jpeg</x:v>
      </x:c>
      <x:c r="F41" s="8" t="str">
        <x:v>assets/images/solDeBrotas.jpeg</x:v>
      </x:c>
      <x:c r="G41" s="8" t="str">
        <x:v>https://www.pv-magazine-latam.com/2026/04/06/autorizan-en-brasil-la-primera-unidad-de-almacenamiento-en-baterias-vinculada-a-una-central-solar/</x:v>
      </x:c>
      <x:c r="H41" s="8" t="str">
        <x:v>nominal</x:v>
      </x:c>
      <x:c r="I41" s="8" t="str">
        <x:v>Fotografia do Complexo Sol de Brotas, crédito Statkraft.</x:v>
      </x:c>
      <x:c r="J41" s="8" t="n">
        <x:v>2</x:v>
      </x:c>
      <x:c r="K41" s="8" t="str">
        <x:v>Sol de Brotas 1; Sol de Brotas 2</x:v>
      </x:c>
    </x:row>
    <x:row r="42" ht="36" customHeight="1">
      <x:c r="A42" s="8" t="n">
        <x:v>41</x:v>
      </x:c>
      <x:c r="B42" s="8" t="str">
        <x:v>São Pedro</x:v>
      </x:c>
      <x:c r="C42" s="8" t="str">
        <x:v>BA</x:v>
      </x:c>
      <x:c r="D42" s="8" t="str">
        <x:v>Bom Jesus da Lapa</x:v>
      </x:c>
      <x:c r="E42" s="8" t="str">
        <x:v>saoPedro.jpg</x:v>
      </x:c>
      <x:c r="F42" s="8" t="str">
        <x:v>assets/images/saoPedro.jpg</x:v>
      </x:c>
      <x:c r="G42" s="8" t="str">
        <x:v>https://es.atlasrenewableenergy.com/wp-content/uploads/atlas-renewable-energy-sao-pedro-solar-plant-bahia-brazil-01-1030x646.jpg</x:v>
      </x:c>
      <x:c r="H42" s="8" t="str">
        <x:v>nominal</x:v>
      </x:c>
      <x:c r="I42" s="8" t="str">
        <x:v>Correspondência nominal entre feição, arquivo e fonte do acervo.</x:v>
      </x:c>
      <x:c r="J42" s="8" t="n">
        <x:v>2</x:v>
      </x:c>
      <x:c r="K42" s="8" t="str">
        <x:v>São Pedro II; São Pedro IV</x:v>
      </x:c>
    </x:row>
    <x:row r="43" ht="36" customHeight="1">
      <x:c r="A43" s="8" t="n">
        <x:v>42</x:v>
      </x:c>
      <x:c r="B43" s="8" t="str">
        <x:v>Serra da Babilônia</x:v>
      </x:c>
      <x:c r="C43" s="8" t="str">
        <x:v>BA</x:v>
      </x:c>
      <x:c r="D43" s="8" t="str">
        <x:v>Morro do Chapéu</x:v>
      </x:c>
      <x:c r="E43" s="8" t="str">
        <x:v>babilonia.webp</x:v>
      </x:c>
      <x:c r="F43" s="8" t="str">
        <x:v>assets/images/babilonia.webp</x:v>
      </x:c>
      <x:c r="G43" s="8" t="str">
        <x:v>https://www.datocms-assets.com/154362/1761925133-2025_10_31_babilonia_16.png?fm=webp&amp;h=600&amp;w=1200&amp;q=90</x:v>
      </x:c>
      <x:c r="H43" s="8" t="str">
        <x:v>nominal</x:v>
      </x:c>
      <x:c r="I43" s="8" t="str">
        <x:v>Fotografia nominal do complexo Babilônia.</x:v>
      </x:c>
      <x:c r="J43" s="8" t="n">
        <x:v>4</x:v>
      </x:c>
      <x:c r="K43" s="8" t="str">
        <x:v>SDB Solar 1 (Antiga - P. Solar I); SDB Solar 2 (Antiga - P. Solar II); SDB Solar 3 (Antiga - P. Solar III); SDB Solar 4 (Antiga - P. Solar IV)</x:v>
      </x:c>
    </x:row>
    <x:row r="44" ht="36" customHeight="1">
      <x:c r="A44" s="8" t="n">
        <x:v>43</x:v>
      </x:c>
      <x:c r="B44" s="8" t="str">
        <x:v>Sertão Solar</x:v>
      </x:c>
      <x:c r="C44" s="8" t="str">
        <x:v>BA</x:v>
      </x:c>
      <x:c r="D44" s="8" t="str">
        <x:v>Barreiras</x:v>
      </x:c>
      <x:c r="E44" s="8" t="str">
        <x:v>sertaoSolarBarreiras.jpeg</x:v>
      </x:c>
      <x:c r="F44" s="8" t="str">
        <x:v>assets/images/sertaoSolarBarreiras.jpeg</x:v>
      </x:c>
      <x:c r="G44" s="8" t="str">
        <x:v>https://motricese.com.br/projeto/ufv-sertao-solar-barreiras</x:v>
      </x:c>
      <x:c r="H44" s="8" t="str">
        <x:v>nominal</x:v>
      </x:c>
      <x:c r="I44" s="8" t="str">
        <x:v>Fotografia nominal do Sertão Solar Barreiras.</x:v>
      </x:c>
      <x:c r="J44" s="8" t="n">
        <x:v>11</x:v>
      </x:c>
      <x:c r="K44" s="8" t="str">
        <x:v>Sertão Solar Barreiras I; Sertão Solar Barreiras II; Sertão Solar Barreiras III; Sertão Solar Barreiras IV; Sertão solar Barreiras XIX; Sertão Solar Barreiras XV; Sertão Solar Barreiras XVI; Sertão Solar Barreiras XVII; Sertão Solar Barreiras XVIII; Sertão Solar Barreiras XX; Sertão Solar Barreiras XXI</x:v>
      </x:c>
    </x:row>
    <x:row r="45" ht="36" customHeight="1">
      <x:c r="A45" s="8" t="n">
        <x:v>44</x:v>
      </x:c>
      <x:c r="B45" s="8" t="str">
        <x:v>Sol do Sertão</x:v>
      </x:c>
      <x:c r="C45" s="8" t="str">
        <x:v>BA</x:v>
      </x:c>
      <x:c r="D45" s="8" t="str">
        <x:v>Oliveira dos Brejinhos</x:v>
      </x:c>
      <x:c r="E45" s="8" t="str">
        <x:v>solDoSertao.avif</x:v>
      </x:c>
      <x:c r="F45" s="8" t="str">
        <x:v>assets/images/solDoSertao.avif</x:v>
      </x:c>
      <x:c r="G45" s="8" t="str">
        <x:v>https://www.solkaengenharia.com.br/c%C3%B3pia-ce-ventos-da-bahia-fase-iii</x:v>
      </x:c>
      <x:c r="H45" s="8" t="str">
        <x:v>nominal</x:v>
      </x:c>
      <x:c r="I45" s="8" t="str">
        <x:v>Correspondência nominal entre feição, arquivo e fonte do acervo.</x:v>
      </x:c>
      <x:c r="J45" s="8" t="n">
        <x:v>8</x:v>
      </x:c>
      <x:c r="K45" s="8" t="str">
        <x:v>Sol do Sertão XXXV; Sol do Sertão XII; Sol do Sertão XIII; Terra do Sol VII; Terra do Sol XI; Sol do Sertão XIV; Sol do Sertão VIII; Sol do Sertão XXXVI</x:v>
      </x:c>
    </x:row>
    <x:row r="46" ht="36" customHeight="1">
      <x:c r="A46" s="8" t="n">
        <x:v>45</x:v>
      </x:c>
      <x:c r="B46" s="8" t="str">
        <x:v>Futura</x:v>
      </x:c>
      <x:c r="C46" s="8" t="str">
        <x:v>BA</x:v>
      </x:c>
      <x:c r="D46" s="8" t="str">
        <x:v>Juazeiro</x:v>
      </x:c>
      <x:c r="E46" s="8" t="str">
        <x:v>futura.webp</x:v>
      </x:c>
      <x:c r="F46" s="8" t="str">
        <x:v>assets/images/futura.webp</x:v>
      </x:c>
      <x:c r="G46" s="8" t="str">
        <x:v>https://eneva.com.br/wp-content/uploads/2025/06/RI_Eneva2024_v1605_ENG.pdf</x:v>
      </x:c>
      <x:c r="H46" s="8" t="str">
        <x:v>nominal</x:v>
      </x:c>
      <x:c r="I46" s="8" t="str">
        <x:v>Correspondência nominal entre feição, arquivo e fonte do acervo.</x:v>
      </x:c>
      <x:c r="J46" s="8" t="n">
        <x:v>22</x:v>
      </x:c>
      <x:c r="K46" s="8" t="str">
        <x:v>Futura 1; Futura 2; Futura 3; Futura 4; Futura 5; Futura 6; Futura 7; Futura 8; Futura 9; Futura 10; Futura 11; Futura 12; Futura 13; Futura 14; Futura 15; Futura 16; Futura 17; Futura 18; Futura 19; Futura 20; Futura 21; Futura 22</x:v>
      </x:c>
    </x:row>
    <x:row r="47" ht="36" customHeight="1">
      <x:c r="A47" s="8" t="n">
        <x:v>46</x:v>
      </x:c>
      <x:c r="B47" s="8" t="str">
        <x:v>Arapuá</x:v>
      </x:c>
      <x:c r="C47" s="8" t="str">
        <x:v>CE</x:v>
      </x:c>
      <x:c r="D47" s="8" t="str">
        <x:v>Jaguaruana</x:v>
      </x:c>
      <x:c r="E47" s="8" t="str">
        <x:v>arapua.webp</x:v>
      </x:c>
      <x:c r="F47" s="8" t="str">
        <x:v>assets/images/arapua.webp</x:v>
      </x:c>
      <x:c r="G47" s="8" t="str">
        <x:v>https://movimentoeconomico.com.br/economia/energia/2026/01/22/complexo-solar-arapua-inicia-testes-e-kroma-ultrapassa-500-mwp-em-ativos/</x:v>
      </x:c>
      <x:c r="H47" s="8" t="str">
        <x:v>nominal</x:v>
      </x:c>
      <x:c r="I47" s="8" t="str">
        <x:v>Correspondência nominal entre feição, arquivo e fonte do acervo.</x:v>
      </x:c>
      <x:c r="J47" s="8" t="n">
        <x:v>4</x:v>
      </x:c>
      <x:c r="K47" s="8" t="str">
        <x:v>Arapuá 1; Arapuá 2; Arapuá 3; Arapuá 4</x:v>
      </x:c>
    </x:row>
    <x:row r="48" ht="36" customHeight="1">
      <x:c r="A48" s="8" t="n">
        <x:v>47</x:v>
      </x:c>
      <x:c r="B48" s="8" t="str">
        <x:v>Horizonte</x:v>
      </x:c>
      <x:c r="C48" s="8" t="str">
        <x:v>BA</x:v>
      </x:c>
      <x:c r="D48" s="8" t="str">
        <x:v>Tabocas do Brejo Velho</x:v>
      </x:c>
      <x:c r="E48" s="8" t="str">
        <x:v>horizontes.jpg</x:v>
      </x:c>
      <x:c r="F48" s="8" t="str">
        <x:v>assets/images/horizontes.jpg</x:v>
      </x:c>
      <x:c r="G48" s="8" t="str">
        <x:v>https://crbio08.gov.br/wp-content/uploads/2018/03/parque-solar.jpg</x:v>
      </x:c>
      <x:c r="H48" s="8" t="str">
        <x:v>nominal</x:v>
      </x:c>
      <x:c r="I48" s="8" t="str">
        <x:v>Fotografia nominal do parque Horizonte.</x:v>
      </x:c>
      <x:c r="J48" s="8" t="n">
        <x:v>3</x:v>
      </x:c>
      <x:c r="K48" s="8" t="str">
        <x:v>Horizonte MP 1; Horizonte MP 2; Horizonte MP 11</x:v>
      </x:c>
    </x:row>
    <x:row r="49" ht="36" customHeight="1">
      <x:c r="A49" s="8" t="n">
        <x:v>48</x:v>
      </x:c>
      <x:c r="B49" s="8" t="str">
        <x:v>Lagoinha</x:v>
      </x:c>
      <x:c r="C49" s="8" t="str">
        <x:v>CE</x:v>
      </x:c>
      <x:c r="D49" s="8" t="str">
        <x:v>Russas</x:v>
      </x:c>
      <x:c r="E49" s="8" t="str">
        <x:v>lagoinha.jpg</x:v>
      </x:c>
      <x:c r="F49" s="8" t="str">
        <x:v>assets/images/lagoinha.jpg</x:v>
      </x:c>
      <x:c r="G49" s="8" t="str">
        <x:v>https://revistane.com.br/2025/06/30/investimentos-chineses-avancam-no-nordeste-com-energia-limpa-industria-e-infraestrutura/</x:v>
      </x:c>
      <x:c r="H49" s="8" t="str">
        <x:v>nominal</x:v>
      </x:c>
      <x:c r="I49" s="8" t="str">
        <x:v>Correspondência nominal entre feição, arquivo e fonte do acervo.</x:v>
      </x:c>
      <x:c r="J49" s="8" t="n">
        <x:v>4</x:v>
      </x:c>
      <x:c r="K49" s="8" t="str">
        <x:v>Lagoinha I; Lagoinha II; Lagoinha III; Lagoinha IV</x:v>
      </x:c>
    </x:row>
    <x:row r="50" ht="36" customHeight="1">
      <x:c r="A50" s="8" t="n">
        <x:v>49</x:v>
      </x:c>
      <x:c r="B50" s="8" t="str">
        <x:v>Apodi</x:v>
      </x:c>
      <x:c r="C50" s="8" t="str">
        <x:v>CE</x:v>
      </x:c>
      <x:c r="D50" s="8" t="str">
        <x:v>Quixere</x:v>
      </x:c>
      <x:c r="E50" s="8" t="str">
        <x:v>apodi.webp</x:v>
      </x:c>
      <x:c r="F50" s="8" t="str">
        <x:v>assets/images/apodi.webp</x:v>
      </x:c>
      <x:c r="G50" s="8" t="str">
        <x:v>https://g1.globo.com/mg/triangulo-mineiro/especial-publicitario/pacto-energia/noticia/2021/03/16/economia-mercado-livre-permite-desconto-de-ate-30percent-nas-contas-de-energia-de-empresarios.ghtml</x:v>
      </x:c>
      <x:c r="H50" s="8" t="str">
        <x:v>nominal</x:v>
      </x:c>
      <x:c r="I50" s="8" t="str">
        <x:v>Correspondência nominal entre feição, arquivo e fonte do acervo.</x:v>
      </x:c>
      <x:c r="J50" s="8" t="n">
        <x:v>4</x:v>
      </x:c>
      <x:c r="K50" s="8" t="str">
        <x:v>Apodi I; Apodi II; Apodi III; Apodi IV</x:v>
      </x:c>
    </x:row>
    <x:row r="51" ht="36" customHeight="1">
      <x:c r="A51" s="8" t="n">
        <x:v>50</x:v>
      </x:c>
      <x:c r="B51" s="8" t="str">
        <x:v>Ituverava</x:v>
      </x:c>
      <x:c r="C51" s="8" t="str">
        <x:v>BA</x:v>
      </x:c>
      <x:c r="D51" s="8" t="str">
        <x:v>Tabocas do Brejo Velho</x:v>
      </x:c>
      <x:c r="E51" s="8" t="str">
        <x:v>ituverava.jpg</x:v>
      </x:c>
      <x:c r="F51" s="8" t="str">
        <x:v>assets/images/ituverava.jpg</x:v>
      </x:c>
      <x:c r="G51" s="8" t="str">
        <x:v>https://www.enelgreenpower.com/pt/nossos-projetos/operativos/parque-solar-ituverava</x:v>
      </x:c>
      <x:c r="H51" s="8" t="str">
        <x:v>nominal</x:v>
      </x:c>
      <x:c r="I51" s="8" t="str">
        <x:v>Correspondência nominal entre feição, arquivo e fonte do acervo.</x:v>
      </x:c>
      <x:c r="J51" s="8" t="n">
        <x:v>7</x:v>
      </x:c>
      <x:c r="K51" s="8" t="str">
        <x:v>Ituverava 1; Ituverava 2; Ituverava 3; Ituverava 4; Ituverava 5; Ituverava 6; Ituverava 7</x:v>
      </x:c>
    </x:row>
    <x:row r="52" ht="36" customHeight="1">
      <x:c r="A52" s="8" t="n">
        <x:v>51</x:v>
      </x:c>
      <x:c r="B52" s="8" t="str">
        <x:v>Alex</x:v>
      </x:c>
      <x:c r="C52" s="8" t="str">
        <x:v>CE</x:v>
      </x:c>
      <x:c r="D52" s="8" t="str">
        <x:v>Limoeiro do Norte, Tabuleiro do Norte</x:v>
      </x:c>
      <x:c r="E52" s="8" t="str">
        <x:v>alex.jpg</x:v>
      </x:c>
      <x:c r="F52" s="8" t="str">
        <x:v>assets/images/alex.jpg</x:v>
      </x:c>
      <x:c r="G52" s="8" t="str">
        <x:v>https://canalsolar.com.br/wp-content/uploads/2022/10/31-10-22-canal-solar-omplexo-Alex-registra-geracao-de-760-GWh-durante-um-ano-de-operacao.jpg</x:v>
      </x:c>
      <x:c r="H52" s="8" t="str">
        <x:v>nominal</x:v>
      </x:c>
      <x:c r="I52" s="8" t="str">
        <x:v>Correspondência nominal entre feição, arquivo e fonte do acervo.</x:v>
      </x:c>
      <x:c r="J52" s="8" t="n">
        <x:v>9</x:v>
      </x:c>
      <x:c r="K52" s="8" t="str">
        <x:v>Alex I; Alex V; Alex VI; Alex VII; Alex VIII; Alex IX; Alex X; Alex III; Alex IV</x:v>
      </x:c>
    </x:row>
    <x:row r="53" ht="36" customHeight="1">
      <x:c r="A53" s="8" t="n">
        <x:v>52</x:v>
      </x:c>
      <x:c r="B53" s="8" t="str">
        <x:v>Juazeiro</x:v>
      </x:c>
      <x:c r="C53" s="8" t="str">
        <x:v>BA</x:v>
      </x:c>
      <x:c r="D53" s="8" t="str">
        <x:v>Juazeiro</x:v>
      </x:c>
      <x:c r="E53" s="8" t="str">
        <x:v>juazeiro.jpeg</x:v>
      </x:c>
      <x:c r="F53" s="8" t="str">
        <x:v>assets/images/juazeiro.jpeg</x:v>
      </x:c>
      <x:c r="G53" s="8" t="str">
        <x:v>https://motricese.com.br/projeto/ufv-juazeiro</x:v>
      </x:c>
      <x:c r="H53" s="8" t="str">
        <x:v>nominal</x:v>
      </x:c>
      <x:c r="I53" s="8" t="str">
        <x:v>Correspondência nominal entre feição, arquivo e fonte do acervo.</x:v>
      </x:c>
      <x:c r="J53" s="8" t="n">
        <x:v>8</x:v>
      </x:c>
      <x:c r="K53" s="8" t="str">
        <x:v>Juazeiro Solar I; Juazeiro Solar II; Juazeiro Solar III; Juazeiro Solar IV; Juazeiro V; Juazeiro VI; Juazeiro VII; Juazeiro VIII</x:v>
      </x:c>
    </x:row>
    <x:row r="54" ht="36" customHeight="1">
      <x:c r="A54" s="8" t="n">
        <x:v>53</x:v>
      </x:c>
      <x:c r="B54" s="8" t="str">
        <x:v>Lavras</x:v>
      </x:c>
      <x:c r="C54" s="8" t="str">
        <x:v>CE</x:v>
      </x:c>
      <x:c r="D54" s="8" t="str">
        <x:v>Calcaia</x:v>
      </x:c>
      <x:c r="E54" s="8" t="str">
        <x:v>lavras.webp</x:v>
      </x:c>
      <x:c r="F54" s="8" t="str">
        <x:v>assets/images/lavras.webp</x:v>
      </x:c>
      <x:c r="G54" s="8" t="str">
        <x:v>https://diariodonordeste.verdesmares.com.br/opiniao/colunistas/egidio-serpa/chegam-da-china-619-mil-placas-solares-para-usina-de-caucaia-1.3179340</x:v>
      </x:c>
      <x:c r="H54" s="8" t="str">
        <x:v>nominal</x:v>
      </x:c>
      <x:c r="I54" s="8" t="str">
        <x:v>Correspondência nominal entre feição, arquivo e fonte do acervo.</x:v>
      </x:c>
      <x:c r="J54" s="8" t="n">
        <x:v>8</x:v>
      </x:c>
      <x:c r="K54" s="8" t="str">
        <x:v>Lavras 1; Lavras 2; Lavras 3; Lavras 4; Lavras 5; Lavras 6; Lavras 7; Lavras 8</x:v>
      </x:c>
    </x:row>
    <x:row r="55" ht="36" customHeight="1">
      <x:c r="A55" s="8" t="n">
        <x:v>54</x:v>
      </x:c>
      <x:c r="B55" s="8" t="str">
        <x:v>Santa Luzia</x:v>
      </x:c>
      <x:c r="C55" s="8" t="str">
        <x:v>PB</x:v>
      </x:c>
      <x:c r="D55" s="8" t="str">
        <x:v>Santa Luzia</x:v>
      </x:c>
      <x:c r="E55" s="8" t="str">
        <x:v>santaLuzia.jpg</x:v>
      </x:c>
      <x:c r="F55" s="8" t="str">
        <x:v>assets/images/santaLuzia.jpg</x:v>
      </x:c>
      <x:c r="G55" s="8" t="str">
        <x:v>https://www.neoenergia.com/energia-solar/complexo-solar-luzia</x:v>
      </x:c>
      <x:c r="H55" s="8" t="str">
        <x:v>nominal</x:v>
      </x:c>
      <x:c r="I55" s="8" t="str">
        <x:v>Correspondência nominal entre feição, arquivo e fonte do acervo.</x:v>
      </x:c>
      <x:c r="J55" s="8" t="n">
        <x:v>5</x:v>
      </x:c>
      <x:c r="K55" s="8" t="str">
        <x:v>Santa Luzia 1; Santa Luzia 4; Santa Luzia V; Santa Luzia VII; Santa Luzia IX</x:v>
      </x:c>
    </x:row>
    <x:row r="56" ht="36" customHeight="1">
      <x:c r="A56" s="8" t="n">
        <x:v>55</x:v>
      </x:c>
      <x:c r="B56" s="8" t="str">
        <x:v>Sol do Futuro</x:v>
      </x:c>
      <x:c r="C56" s="8" t="str">
        <x:v>CE</x:v>
      </x:c>
      <x:c r="D56" s="8" t="str">
        <x:v>Aquiraz</x:v>
      </x:c>
      <x:c r="E56" s="8" t="str">
        <x:v>solDoFuturo.jpg</x:v>
      </x:c>
      <x:c r="F56" s="8" t="str">
        <x:v>assets/images/solDoFuturo.jpg</x:v>
      </x:c>
      <x:c r="G56" s="8" t="str">
        <x:v>https://es.atlasrenewableenergy.com/wp-content/uploads/sol-do-futuro-solar-plant-1-1030x771.jpg</x:v>
      </x:c>
      <x:c r="H56" s="8" t="str">
        <x:v>nominal</x:v>
      </x:c>
      <x:c r="I56" s="8" t="str">
        <x:v>Correspondência nominal entre feição, arquivo e fonte do acervo.</x:v>
      </x:c>
      <x:c r="J56" s="8" t="n">
        <x:v>3</x:v>
      </x:c>
      <x:c r="K56" s="8" t="str">
        <x:v>Sol do Futuro I (Steelcons Sol do Futuro I); Sol do Futuro II (Antiga Steelcons Sol do Futuro III); Sol do Futuro III (Antiga Steelcons Sol do Futuro III)</x:v>
      </x:c>
    </x:row>
    <x:row r="57" ht="36" customHeight="1">
      <x:c r="A57" s="8" t="n">
        <x:v>56</x:v>
      </x:c>
      <x:c r="B57" s="8" t="str">
        <x:v>Assurá</x:v>
      </x:c>
      <x:c r="C57" s="8" t="str">
        <x:v>BA</x:v>
      </x:c>
      <x:c r="D57" s="8" t="str">
        <x:v>Itaguaçu da Bahia</x:v>
      </x:c>
      <x:c r="E57" s="8" t="str">
        <x:v>assura.jpeg</x:v>
      </x:c>
      <x:c r="F57" s="8" t="str">
        <x:v>assets/images/assura.jpeg</x:v>
      </x:c>
      <x:c r="G57" s="8" t="str">
        <x:v>https://atiaiarenovaveis.com.br/nossas-usinas/</x:v>
      </x:c>
      <x:c r="H57" s="8" t="str">
        <x:v>nominal</x:v>
      </x:c>
      <x:c r="I57" s="8" t="str">
        <x:v>Fotografia nominal do complexo Assurá.</x:v>
      </x:c>
      <x:c r="J57" s="8" t="n">
        <x:v>1</x:v>
      </x:c>
      <x:c r="K57" s="8" t="str">
        <x:v>Assuruá</x:v>
      </x:c>
    </x:row>
    <x:row r="58" ht="36" customHeight="1">
      <x:c r="A58" s="8" t="n">
        <x:v>57</x:v>
      </x:c>
      <x:c r="B58" s="8" t="str">
        <x:v>Malta</x:v>
      </x:c>
      <x:c r="C58" s="8" t="str">
        <x:v>PB</x:v>
      </x:c>
      <x:c r="D58" s="8" t="str">
        <x:v>Malta</x:v>
      </x:c>
      <x:c r="E58" s="8" t="str">
        <x:v>malta.jpg</x:v>
      </x:c>
      <x:c r="F58" s="8" t="str">
        <x:v>assets/images/malta.jpg</x:v>
      </x:c>
      <x:c r="G58" s="8" t="str">
        <x:v>https://pt.wikipedia.org/wiki/Usina_Solar_Malta</x:v>
      </x:c>
      <x:c r="H58" s="8" t="str">
        <x:v>nominal</x:v>
      </x:c>
      <x:c r="I58" s="8" t="str">
        <x:v>Correspondência nominal entre feição, arquivo e fonte do acervo.</x:v>
      </x:c>
      <x:c r="J58" s="8" t="n">
        <x:v>1</x:v>
      </x:c>
      <x:c r="K58" s="8" t="str">
        <x:v>Malta</x:v>
      </x:c>
    </x:row>
    <x:row r="59" ht="36" customHeight="1">
      <x:c r="A59" s="8" t="n">
        <x:v>58</x:v>
      </x:c>
      <x:c r="B59" s="8" t="str">
        <x:v>Pitombeira</x:v>
      </x:c>
      <x:c r="C59" s="8" t="str">
        <x:v>CE</x:v>
      </x:c>
      <x:c r="D59" s="8" t="str">
        <x:v>Aracati</x:v>
      </x:c>
      <x:c r="E59" s="8" t="str">
        <x:v>pitombeira.png</x:v>
      </x:c>
      <x:c r="F59" s="8" t="str">
        <x:v>assets/images/pitombeira.png</x:v>
      </x:c>
      <x:c r="G59" s="8" t="str">
        <x:v>https://ufvpitombeira.com.br/sustentabilidade/</x:v>
      </x:c>
      <x:c r="H59" s="8" t="str">
        <x:v>nominal</x:v>
      </x:c>
      <x:c r="I59" s="8" t="str">
        <x:v>Correspondência nominal entre feição, arquivo e fonte do acervo.</x:v>
      </x:c>
      <x:c r="J59" s="8" t="n">
        <x:v>1</x:v>
      </x:c>
      <x:c r="K59" s="8" t="str">
        <x:v>Pitombeira</x:v>
      </x:c>
    </x:row>
    <x:row r="60" ht="36" customHeight="1">
      <x:c r="A60" s="8" t="n">
        <x:v>59</x:v>
      </x:c>
      <x:c r="B60" s="8" t="str">
        <x:v>Bom Jesus da Lapa</x:v>
      </x:c>
      <x:c r="C60" s="8" t="str">
        <x:v>BA</x:v>
      </x:c>
      <x:c r="D60" s="8" t="str">
        <x:v>Bom Jesus da Lapa</x:v>
      </x:c>
      <x:c r="E60" s="8" t="str">
        <x:v>lapa.jpg</x:v>
      </x:c>
      <x:c r="F60" s="8" t="str">
        <x:v>assets/images/lapa.jpg</x:v>
      </x:c>
      <x:c r="G60" s="8" t="str">
        <x:v>https://commons.wikimedia.org/w/index.php?curid=56006579</x:v>
      </x:c>
      <x:c r="H60" s="8" t="str">
        <x:v>nominal</x:v>
      </x:c>
      <x:c r="I60" s="8" t="str">
        <x:v>Imagem do Complexo Solar Lapa/Bom Jesus da Lapa.</x:v>
      </x:c>
      <x:c r="J60" s="8" t="n">
        <x:v>6</x:v>
      </x:c>
      <x:c r="K60" s="8" t="str">
        <x:v>Bom Jesus da Lapa I; Bom Jesus da Lapa II; BJL 11; BJL 4; Lapa 3; Lapa 2</x:v>
      </x:c>
    </x:row>
    <x:row r="61" ht="36" customHeight="1">
      <x:c r="A61" s="8" t="n">
        <x:v>60</x:v>
      </x:c>
      <x:c r="B61" s="8" t="str">
        <x:v>Rio do Peixe</x:v>
      </x:c>
      <x:c r="C61" s="8" t="str">
        <x:v>PB</x:v>
      </x:c>
      <x:c r="D61" s="8" t="str">
        <x:v>São João do Rio do Peixe</x:v>
      </x:c>
      <x:c r="E61" s="8" t="str">
        <x:v>saoJoaoDoRioDoPeixe.avif</x:v>
      </x:c>
      <x:c r="F61" s="8" t="str">
        <x:v>assets/images/saoJoaoDoRioDoPeixe.avif</x:v>
      </x:c>
      <x:c r="G61" s="8" t="str">
        <x:v>https://static.wixstatic.com/media/409741_aa7a9644df4d40b69005e92aeb955619~mv2.png/v1/fill/w_781,h_439,al_c,q_85,usm_0.66_1.00_0.01,enc_avif,quality_auto/S%C3%A3o%20Jo%C3%A3o%20do%20Rio%20do%20Peixe%20(PB).png</x:v>
      </x:c>
      <x:c r="H61" s="8" t="str">
        <x:v>nominal</x:v>
      </x:c>
      <x:c r="I61" s="8" t="str">
        <x:v>Fotografia nominal de São João do Rio do Peixe.</x:v>
      </x:c>
      <x:c r="J61" s="8" t="n">
        <x:v>2</x:v>
      </x:c>
      <x:c r="K61" s="8" t="str">
        <x:v>Rio do Peixe I; Rio do Peixe II</x:v>
      </x:c>
    </x:row>
    <x:row r="62" ht="36" customHeight="1">
      <x:c r="A62" s="8" t="n">
        <x:v>61</x:v>
      </x:c>
      <x:c r="B62" s="8" t="str">
        <x:v>Luzia</x:v>
      </x:c>
      <x:c r="C62" s="8" t="str">
        <x:v>PB</x:v>
      </x:c>
      <x:c r="D62" s="8" t="str">
        <x:v>Santa Luzia</x:v>
      </x:c>
      <x:c r="E62" s="8" t="str">
        <x:v>luzia.webp</x:v>
      </x:c>
      <x:c r="F62" s="8" t="str">
        <x:v>assets/images/luzia.webp</x:v>
      </x:c>
      <x:c r="G62" s="8" t="str">
        <x:v>https://canalsolar.com.br/complexo-35-milhoes-paineis-solares-paraiba/</x:v>
      </x:c>
      <x:c r="H62" s="8" t="str">
        <x:v>nominal</x:v>
      </x:c>
      <x:c r="I62" s="8" t="str">
        <x:v>Fotografia nominal do Complexo Luzia.</x:v>
      </x:c>
      <x:c r="J62" s="8" t="n">
        <x:v>2</x:v>
      </x:c>
      <x:c r="K62" s="8" t="str">
        <x:v>Luzia 2; Luzia 3</x:v>
      </x:c>
    </x:row>
    <x:row r="63" ht="36" customHeight="1">
      <x:c r="A63" s="8" t="n">
        <x:v>62</x:v>
      </x:c>
      <x:c r="B63" s="8" t="str">
        <x:v>Serra do Mato</x:v>
      </x:c>
      <x:c r="C63" s="8" t="str">
        <x:v>CE</x:v>
      </x:c>
      <x:c r="D63" s="8" t="str">
        <x:v>Trairi</x:v>
      </x:c>
      <x:c r="E63" s="8" t="str">
        <x:v>serraDoMato.jpg</x:v>
      </x:c>
      <x:c r="F63" s="8" t="str">
        <x:v>assets/images/serraDoMato.jpg</x:v>
      </x:c>
      <x:c r="G63" s="8" t="str">
        <x:v>https://www.brasil.qair.energy/blog/energizacao-complexo-solar-serra-do-mato/</x:v>
      </x:c>
      <x:c r="H63" s="8" t="str">
        <x:v>nominal</x:v>
      </x:c>
      <x:c r="I63" s="8" t="str">
        <x:v>Correspondência nominal entre feição, arquivo e fonte do acervo.</x:v>
      </x:c>
      <x:c r="J63" s="8" t="n">
        <x:v>2</x:v>
      </x:c>
      <x:c r="K63" s="8" t="str">
        <x:v>Serra do Mato III; Serra do Mato IV</x:v>
      </x:c>
    </x:row>
    <x:row r="64" ht="36" customHeight="1">
      <x:c r="A64" s="8" t="n">
        <x:v>63</x:v>
      </x:c>
      <x:c r="B64" s="8" t="str">
        <x:v>Lins</x:v>
      </x:c>
      <x:c r="C64" s="8" t="str">
        <x:v>CE</x:v>
      </x:c>
      <x:c r="D64" s="8" t="str">
        <x:v>São Gonçalo do Amarante</x:v>
      </x:c>
      <x:c r="E64" s="8" t="str">
        <x:v>lins.webp</x:v>
      </x:c>
      <x:c r="F64" s="8" t="str">
        <x:v>assets/images/lins.webp</x:v>
      </x:c>
      <x:c r="G64" s="8" t="str">
        <x:v>https://www.iscobra.com/en/project/lins-photovoltaic-plant/</x:v>
      </x:c>
      <x:c r="H64" s="8" t="str">
        <x:v>nominal</x:v>
      </x:c>
      <x:c r="I64" s="8" t="str">
        <x:v>Correspondência nominal entre feição, arquivo e fonte do acervo.</x:v>
      </x:c>
      <x:c r="J64" s="8" t="n">
        <x:v>2</x:v>
      </x:c>
      <x:c r="K64" s="8" t="str">
        <x:v>Lins 01; Lins 02</x:v>
      </x:c>
    </x:row>
  </x:sheetData>
  <x:conditionalFormatting sqref="H2:H64">
    <x:cfRule type="expression" dxfId="0" priority="1">
      <x:formula>H2="nominal"</x:formula>
    </x:cfRule>
    <x:cfRule type="expression" dxfId="1" priority="2">
      <x:formula>H2="contextual"</x:formula>
    </x:cfRule>
    <x:cfRule type="expression" dxfId="2" priority="3">
      <x:formula>H2="representativa"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69458d25a64d89"/>
  </x:tableParts>
</x:worksheet>
</file>